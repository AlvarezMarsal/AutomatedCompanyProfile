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AlvarezMarsal\Working-Files\Automated Company Profile\AutomatedCompanyProfile\Acp\"/>
    </mc:Choice>
  </mc:AlternateContent>
  <xr:revisionPtr revIDLastSave="0" documentId="13_ncr:1_{52D15A0F-02A8-4277-9458-008446797699}" xr6:coauthVersionLast="47" xr6:coauthVersionMax="47" xr10:uidLastSave="{00000000-0000-0000-0000-000000000000}"/>
  <bookViews>
    <workbookView xWindow="6690" yWindow="3375" windowWidth="28800" windowHeight="17010" tabRatio="804" firstSheet="1" activeTab="1" xr2:uid="{00000000-000D-0000-FFFF-FFFF00000000}"/>
  </bookViews>
  <sheets>
    <sheet name="_CIQHiddenCacheSheet" sheetId="1801" state="veryHidden" r:id="rId1"/>
    <sheet name="CIQThunk" sheetId="1783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</externalReferences>
  <definedNames>
    <definedName name="aaaaa" hidden="1">'[1]Score Analysis'!#REF!</definedName>
    <definedName name="AcquisitionsDealCount">#REF!</definedName>
    <definedName name="Board_Members">#REF!</definedName>
    <definedName name="Board_Members_Index">#REF!</definedName>
    <definedName name="Bond_Info">#REF!</definedName>
    <definedName name="Bond_Prices">#REF!</definedName>
    <definedName name="chartType">#REF!</definedName>
    <definedName name="chartType_Fin">#REF!</definedName>
    <definedName name="CIQ_Board_Members">#REF!</definedName>
    <definedName name="CIQ_Key_Professional">#REF!</definedName>
    <definedName name="CIQPeers">#REF!</definedName>
    <definedName name="CIQWBGuid" hidden="1">"317cddda-4ee1-4e2f-b989-b8c32b3d9bc7"</definedName>
    <definedName name="CIQWBInfo" hidden="1">"{ ""CIQVersion"":""9.48.1616.5174"" }"</definedName>
    <definedName name="CompanyEndPeriod">#REF!</definedName>
    <definedName name="CompanyName">#REF!</definedName>
    <definedName name="CompanyNumberOfPeriods">#REF!</definedName>
    <definedName name="CompanyStartPeriod">#REF!</definedName>
    <definedName name="CompData_Fin">#REF!</definedName>
    <definedName name="CompData_NonFin">#REF!</definedName>
    <definedName name="CumulativeIncomeStatement">#REF!</definedName>
    <definedName name="DecompEndPeriod">#REF!</definedName>
    <definedName name="DecompStartPeriod">#REF!</definedName>
    <definedName name="DivestmentDealCount">#REF!</definedName>
    <definedName name="EndingCompanyQuarter">#REF!</definedName>
    <definedName name="EndingCompanyYear">#REF!</definedName>
    <definedName name="EndingQuarter">#REF!</definedName>
    <definedName name="EndingYear">#REF!</definedName>
    <definedName name="EndPeriod">#REF!</definedName>
    <definedName name="eStart">#REF!</definedName>
    <definedName name="EV__LASTREFTIME__" hidden="1">40931.5347222222</definedName>
    <definedName name="Financial_Advisor">#REF!</definedName>
    <definedName name="Investor">#REF!</definedName>
    <definedName name="IQ_ADDIN" hidden="1">"AUTO"</definedName>
    <definedName name="IQ_ANNUAL_DIVIDEND" hidden="1">"c229"</definedName>
    <definedName name="IQ_AVG_PRICE_TARGET" hidden="1">"c82"</definedName>
    <definedName name="IQ_BOARD_MEMBER_FAX" hidden="1">"c2100"</definedName>
    <definedName name="IQ_BOARD_MEMBER_OFFICE" hidden="1">"c2098"</definedName>
    <definedName name="IQ_BOARD_MEMBER_PHONE" hidden="1">"c2099"</definedName>
    <definedName name="IQ_BONDRATING_FITCH" hidden="1">"c223"</definedName>
    <definedName name="IQ_BONDRATING_FITCH_DATE" hidden="1">"c241"</definedName>
    <definedName name="IQ_BONDRATING_SP" hidden="1">"c224"</definedName>
    <definedName name="IQ_BONDRATING_SP_DATE" hidden="1">"c242"</definedName>
    <definedName name="IQ_BOOK_VALUE" hidden="1">"c68"</definedName>
    <definedName name="IQ_BV_ACT_OR_EST_REUT" hidden="1">"c5471"</definedName>
    <definedName name="IQ_BV_ACT_OR_EST_THOM" hidden="1">"c5308"</definedName>
    <definedName name="IQ_BV_EST_REUT" hidden="1">"c5403"</definedName>
    <definedName name="IQ_BV_EST_THOM" hidden="1">"c5147"</definedName>
    <definedName name="IQ_BV_HIGH_EST_REUT" hidden="1">"c5405"</definedName>
    <definedName name="IQ_BV_HIGH_EST_THOM" hidden="1">"c5149"</definedName>
    <definedName name="IQ_BV_LOW_EST_REUT" hidden="1">"c5406"</definedName>
    <definedName name="IQ_BV_LOW_EST_THOM" hidden="1">"c5150"</definedName>
    <definedName name="IQ_BV_MEDIAN_EST_REUT" hidden="1">"c5404"</definedName>
    <definedName name="IQ_BV_MEDIAN_EST_THOM" hidden="1">"c5148"</definedName>
    <definedName name="IQ_BV_NUM_EST_REUT" hidden="1">"c5407"</definedName>
    <definedName name="IQ_BV_NUM_EST_THOM" hidden="1">"c5151"</definedName>
    <definedName name="IQ_BV_STDDEV_EST_REUT" hidden="1">"c5408"</definedName>
    <definedName name="IQ_BV_STDDEV_EST_THOM" hidden="1">"c5152"</definedName>
    <definedName name="IQ_CH">110000</definedName>
    <definedName name="IQ_CLASSB_OUTSTANDING_BS_DATE" hidden="1">"c1972"</definedName>
    <definedName name="IQ_CLASSB_OUTSTANDING_FILING_DATE" hidden="1">"c1974"</definedName>
    <definedName name="IQ_CONTRACTS_OTHER_COMMODITIES_EQUITIES._FDIC" hidden="1">"c6522"</definedName>
    <definedName name="IQ_CONV_RATE" hidden="1">"c2192"</definedName>
    <definedName name="IQ_CQ">5000</definedName>
    <definedName name="IQ_CY">10000</definedName>
    <definedName name="IQ_DAILY">500000</definedName>
    <definedName name="IQ_DNTM" hidden="1">700000</definedName>
    <definedName name="IQ_DPAC" hidden="1">"c2801"</definedName>
    <definedName name="IQ_EBIT_10K" hidden="1">"IQ_EBIT_10K"</definedName>
    <definedName name="IQ_EBIT_10Q" hidden="1">"IQ_EBIT_10Q"</definedName>
    <definedName name="IQ_EBIT_10Q1" hidden="1">"IQ_EBIT_10Q1"</definedName>
    <definedName name="IQ_EBIT_GROWTH_1" hidden="1">"c157"</definedName>
    <definedName name="IQ_EBIT_GROWTH_2" hidden="1">"c161"</definedName>
    <definedName name="IQ_EBITDA_10K" hidden="1">"IQ_EBITDA_10K"</definedName>
    <definedName name="IQ_EBITDA_10Q" hidden="1">"IQ_EBITDA_10Q"</definedName>
    <definedName name="IQ_EBITDA_10Q1" hidden="1">"IQ_EBITDA_10Q1"</definedName>
    <definedName name="IQ_EBITDA_GROWTH_1" hidden="1">"c156"</definedName>
    <definedName name="IQ_EBITDA_GROWTH_2" hidden="1">"c160"</definedName>
    <definedName name="IQ_ECO_METRIC_6810" hidden="1">"c6810"</definedName>
    <definedName name="IQ_ECO_METRIC_6811" hidden="1">"c6811"</definedName>
    <definedName name="IQ_ECO_METRIC_6812" hidden="1">"c6812"</definedName>
    <definedName name="IQ_ECO_METRIC_6813" hidden="1">"c6813"</definedName>
    <definedName name="IQ_ECO_METRIC_6814" hidden="1">"c6814"</definedName>
    <definedName name="IQ_ECO_METRIC_6815" hidden="1">"c6815"</definedName>
    <definedName name="IQ_ECO_METRIC_6816" hidden="1">"c6816"</definedName>
    <definedName name="IQ_ECO_METRIC_6817" hidden="1">"c6817"</definedName>
    <definedName name="IQ_ECO_METRIC_6818" hidden="1">"c6818"</definedName>
    <definedName name="IQ_ECO_METRIC_6819" hidden="1">"c6819"</definedName>
    <definedName name="IQ_ECO_METRIC_6820" hidden="1">"c6820"</definedName>
    <definedName name="IQ_ECO_METRIC_6821" hidden="1">"c6821"</definedName>
    <definedName name="IQ_ECO_METRIC_6822" hidden="1">"c6822"</definedName>
    <definedName name="IQ_ECO_METRIC_6823" hidden="1">"c6823"</definedName>
    <definedName name="IQ_ECO_METRIC_6824" hidden="1">"c6824"</definedName>
    <definedName name="IQ_ECO_METRIC_6825" hidden="1">"c6825"</definedName>
    <definedName name="IQ_ECO_METRIC_6826" hidden="1">"c6826"</definedName>
    <definedName name="IQ_ECO_METRIC_6827" hidden="1">"c6827"</definedName>
    <definedName name="IQ_ECO_METRIC_6828" hidden="1">"c6828"</definedName>
    <definedName name="IQ_ECO_METRIC_6829" hidden="1">"c6829"</definedName>
    <definedName name="IQ_ECO_METRIC_6830" hidden="1">"c6830"</definedName>
    <definedName name="IQ_ECO_METRIC_6831" hidden="1">"c6831"</definedName>
    <definedName name="IQ_ECO_METRIC_6832" hidden="1">"c6832"</definedName>
    <definedName name="IQ_ECO_METRIC_6833" hidden="1">"c6833"</definedName>
    <definedName name="IQ_ECO_METRIC_6834" hidden="1">"c6834"</definedName>
    <definedName name="IQ_ECO_METRIC_6835" hidden="1">"c6835"</definedName>
    <definedName name="IQ_ECO_METRIC_6836" hidden="1">"c6836"</definedName>
    <definedName name="IQ_ECO_METRIC_6837" hidden="1">"c6837"</definedName>
    <definedName name="IQ_ECO_METRIC_6838" hidden="1">"c6838"</definedName>
    <definedName name="IQ_ECO_METRIC_6839" hidden="1">"c6839"</definedName>
    <definedName name="IQ_ECO_METRIC_6840" hidden="1">"c6840"</definedName>
    <definedName name="IQ_ECO_METRIC_6841" hidden="1">"c6841"</definedName>
    <definedName name="IQ_ECO_METRIC_6842" hidden="1">"c6842"</definedName>
    <definedName name="IQ_ECO_METRIC_6843" hidden="1">"c6843"</definedName>
    <definedName name="IQ_ECO_METRIC_6844" hidden="1">"c6844"</definedName>
    <definedName name="IQ_ECO_METRIC_6845" hidden="1">"c6845"</definedName>
    <definedName name="IQ_ECO_METRIC_6846" hidden="1">"c6846"</definedName>
    <definedName name="IQ_ECO_METRIC_6847" hidden="1">"c6847"</definedName>
    <definedName name="IQ_ECO_METRIC_6848" hidden="1">"c6848"</definedName>
    <definedName name="IQ_ECO_METRIC_6849" hidden="1">"c6849"</definedName>
    <definedName name="IQ_ECO_METRIC_6850" hidden="1">"c6850"</definedName>
    <definedName name="IQ_ECO_METRIC_6851" hidden="1">"c6851"</definedName>
    <definedName name="IQ_ECO_METRIC_6852" hidden="1">"c6852"</definedName>
    <definedName name="IQ_ECO_METRIC_6853" hidden="1">"c6853"</definedName>
    <definedName name="IQ_ECO_METRIC_6854" hidden="1">"c6854"</definedName>
    <definedName name="IQ_ECO_METRIC_6855" hidden="1">"c6855"</definedName>
    <definedName name="IQ_ECO_METRIC_6856" hidden="1">"c6856"</definedName>
    <definedName name="IQ_ECO_METRIC_6857" hidden="1">"c6857"</definedName>
    <definedName name="IQ_ECO_METRIC_6858" hidden="1">"c6858"</definedName>
    <definedName name="IQ_ECO_METRIC_6859" hidden="1">"c6859"</definedName>
    <definedName name="IQ_ECO_METRIC_6860" hidden="1">"c6860"</definedName>
    <definedName name="IQ_ECO_METRIC_6861" hidden="1">"c6861"</definedName>
    <definedName name="IQ_ECO_METRIC_6862" hidden="1">"c6862"</definedName>
    <definedName name="IQ_ECO_METRIC_6863" hidden="1">"c6863"</definedName>
    <definedName name="IQ_ECO_METRIC_6864" hidden="1">"c6864"</definedName>
    <definedName name="IQ_ECO_METRIC_6865" hidden="1">"c6865"</definedName>
    <definedName name="IQ_ECO_METRIC_6866" hidden="1">"c6866"</definedName>
    <definedName name="IQ_ECO_METRIC_6867" hidden="1">"c6867"</definedName>
    <definedName name="IQ_ECO_METRIC_6868" hidden="1">"c6868"</definedName>
    <definedName name="IQ_ECO_METRIC_6869" hidden="1">"c6869"</definedName>
    <definedName name="IQ_ECO_METRIC_6870" hidden="1">"c6870"</definedName>
    <definedName name="IQ_ECO_METRIC_6871" hidden="1">"c6871"</definedName>
    <definedName name="IQ_ECO_METRIC_6872" hidden="1">"c6872"</definedName>
    <definedName name="IQ_ECO_METRIC_6873" hidden="1">"c6873"</definedName>
    <definedName name="IQ_ECO_METRIC_6874" hidden="1">"c6874"</definedName>
    <definedName name="IQ_ECO_METRIC_6875" hidden="1">"c6875"</definedName>
    <definedName name="IQ_ECO_METRIC_6876" hidden="1">"c6876"</definedName>
    <definedName name="IQ_ECO_METRIC_6877" hidden="1">"c6877"</definedName>
    <definedName name="IQ_ECO_METRIC_6878" hidden="1">"c6878"</definedName>
    <definedName name="IQ_ECO_METRIC_6879" hidden="1">"c6879"</definedName>
    <definedName name="IQ_ECO_METRIC_6880" hidden="1">"c6880"</definedName>
    <definedName name="IQ_ECO_METRIC_6881" hidden="1">"c6881"</definedName>
    <definedName name="IQ_ECO_METRIC_6882" hidden="1">"c6882"</definedName>
    <definedName name="IQ_ECO_METRIC_6883" hidden="1">"c6883"</definedName>
    <definedName name="IQ_ECO_METRIC_6884" hidden="1">"c6884"</definedName>
    <definedName name="IQ_ECO_METRIC_6885" hidden="1">"c6885"</definedName>
    <definedName name="IQ_ECO_METRIC_6886" hidden="1">"c6886"</definedName>
    <definedName name="IQ_ECO_METRIC_6887" hidden="1">"c6887"</definedName>
    <definedName name="IQ_ECO_METRIC_6888" hidden="1">"c6888"</definedName>
    <definedName name="IQ_ECO_METRIC_6889" hidden="1">"c6889"</definedName>
    <definedName name="IQ_ECO_METRIC_6890" hidden="1">"c6890"</definedName>
    <definedName name="IQ_ECO_METRIC_6891" hidden="1">"c6891"</definedName>
    <definedName name="IQ_ECO_METRIC_6892" hidden="1">"c6892"</definedName>
    <definedName name="IQ_ECO_METRIC_6893" hidden="1">"c6893"</definedName>
    <definedName name="IQ_ECO_METRIC_6894" hidden="1">"c6894"</definedName>
    <definedName name="IQ_ECO_METRIC_6895" hidden="1">"c6895"</definedName>
    <definedName name="IQ_ECO_METRIC_6896" hidden="1">"c6896"</definedName>
    <definedName name="IQ_ECO_METRIC_6897" hidden="1">"c6897"</definedName>
    <definedName name="IQ_ECO_METRIC_6899" hidden="1">"c6899"</definedName>
    <definedName name="IQ_ECO_METRIC_6900" hidden="1">"c6900"</definedName>
    <definedName name="IQ_ECO_METRIC_6901" hidden="1">"c6901"</definedName>
    <definedName name="IQ_ECO_METRIC_6902" hidden="1">"c6902"</definedName>
    <definedName name="IQ_ECO_METRIC_6903" hidden="1">"c6903"</definedName>
    <definedName name="IQ_ECO_METRIC_6904" hidden="1">"c6904"</definedName>
    <definedName name="IQ_ECO_METRIC_6905" hidden="1">"c6905"</definedName>
    <definedName name="IQ_ECO_METRIC_6906" hidden="1">"c6906"</definedName>
    <definedName name="IQ_ECO_METRIC_6907" hidden="1">"c6907"</definedName>
    <definedName name="IQ_ECO_METRIC_6908" hidden="1">"c6908"</definedName>
    <definedName name="IQ_ECO_METRIC_6909" hidden="1">"c6909"</definedName>
    <definedName name="IQ_ECO_METRIC_6910" hidden="1">"c6910"</definedName>
    <definedName name="IQ_ECO_METRIC_6911" hidden="1">"c6911"</definedName>
    <definedName name="IQ_ECO_METRIC_6912" hidden="1">"c6912"</definedName>
    <definedName name="IQ_ECO_METRIC_6913" hidden="1">"c6913"</definedName>
    <definedName name="IQ_ECO_METRIC_6914" hidden="1">"c6914"</definedName>
    <definedName name="IQ_ECO_METRIC_6915" hidden="1">"c6915"</definedName>
    <definedName name="IQ_ECO_METRIC_6916" hidden="1">"c6916"</definedName>
    <definedName name="IQ_ECO_METRIC_6917" hidden="1">"c6917"</definedName>
    <definedName name="IQ_ECO_METRIC_6918" hidden="1">"c6918"</definedName>
    <definedName name="IQ_ECO_METRIC_6919" hidden="1">"c6919"</definedName>
    <definedName name="IQ_ECO_METRIC_6920" hidden="1">"c6920"</definedName>
    <definedName name="IQ_ECO_METRIC_6921" hidden="1">"c6921"</definedName>
    <definedName name="IQ_ECO_METRIC_6922" hidden="1">"c6922"</definedName>
    <definedName name="IQ_ECO_METRIC_6923" hidden="1">"c6923"</definedName>
    <definedName name="IQ_ECO_METRIC_6924" hidden="1">"c6924"</definedName>
    <definedName name="IQ_ECO_METRIC_6925" hidden="1">"c6925"</definedName>
    <definedName name="IQ_ECO_METRIC_6926" hidden="1">"c6926"</definedName>
    <definedName name="IQ_ECO_METRIC_6928" hidden="1">"c6928"</definedName>
    <definedName name="IQ_ECO_METRIC_6929" hidden="1">"c6929"</definedName>
    <definedName name="IQ_ECO_METRIC_6930" hidden="1">"c6930"</definedName>
    <definedName name="IQ_ECO_METRIC_6931" hidden="1">"c6931"</definedName>
    <definedName name="IQ_ECO_METRIC_6932" hidden="1">"c6932"</definedName>
    <definedName name="IQ_ECO_METRIC_6933" hidden="1">"c6933"</definedName>
    <definedName name="IQ_ECO_METRIC_6934" hidden="1">"c6934"</definedName>
    <definedName name="IQ_ECO_METRIC_6935" hidden="1">"c6935"</definedName>
    <definedName name="IQ_ECO_METRIC_6936" hidden="1">"c6936"</definedName>
    <definedName name="IQ_ECO_METRIC_6937" hidden="1">"c6937"</definedName>
    <definedName name="IQ_ECO_METRIC_6938" hidden="1">"c6938"</definedName>
    <definedName name="IQ_ECO_METRIC_6939" hidden="1">"c6939"</definedName>
    <definedName name="IQ_ECO_METRIC_6940" hidden="1">"c6940"</definedName>
    <definedName name="IQ_ECO_METRIC_6941" hidden="1">"c6941"</definedName>
    <definedName name="IQ_ECO_METRIC_6942" hidden="1">"c6942"</definedName>
    <definedName name="IQ_ECO_METRIC_6943" hidden="1">"c6943"</definedName>
    <definedName name="IQ_ECO_METRIC_6944" hidden="1">"c6944"</definedName>
    <definedName name="IQ_ECO_METRIC_6945" hidden="1">"c6945"</definedName>
    <definedName name="IQ_ECO_METRIC_6946" hidden="1">"c6946"</definedName>
    <definedName name="IQ_ECO_METRIC_6947" hidden="1">"c6947"</definedName>
    <definedName name="IQ_ECO_METRIC_6948" hidden="1">"c6948"</definedName>
    <definedName name="IQ_ECO_METRIC_6949" hidden="1">"c6949"</definedName>
    <definedName name="IQ_ECO_METRIC_6950" hidden="1">"c6950"</definedName>
    <definedName name="IQ_ECO_METRIC_6951" hidden="1">"c6951"</definedName>
    <definedName name="IQ_ECO_METRIC_6952" hidden="1">"c6952"</definedName>
    <definedName name="IQ_ECO_METRIC_6953" hidden="1">"c6953"</definedName>
    <definedName name="IQ_ECO_METRIC_6954" hidden="1">"c6954"</definedName>
    <definedName name="IQ_ECO_METRIC_6955" hidden="1">"c6955"</definedName>
    <definedName name="IQ_ECO_METRIC_6956" hidden="1">"c6956"</definedName>
    <definedName name="IQ_ECO_METRIC_6957" hidden="1">"c6957"</definedName>
    <definedName name="IQ_ECO_METRIC_6958" hidden="1">"c6958"</definedName>
    <definedName name="IQ_ECO_METRIC_6959" hidden="1">"c6959"</definedName>
    <definedName name="IQ_ECO_METRIC_6960" hidden="1">"c6960"</definedName>
    <definedName name="IQ_ECO_METRIC_6962" hidden="1">"c6962"</definedName>
    <definedName name="IQ_ECO_METRIC_6963" hidden="1">"c6963"</definedName>
    <definedName name="IQ_ECO_METRIC_6964" hidden="1">"c6964"</definedName>
    <definedName name="IQ_ECO_METRIC_6965" hidden="1">"c6965"</definedName>
    <definedName name="IQ_ECO_METRIC_6966" hidden="1">"c6966"</definedName>
    <definedName name="IQ_ECO_METRIC_6967" hidden="1">"c6967"</definedName>
    <definedName name="IQ_ECO_METRIC_6968" hidden="1">"c6968"</definedName>
    <definedName name="IQ_ECO_METRIC_6969" hidden="1">"c6969"</definedName>
    <definedName name="IQ_ECO_METRIC_6970" hidden="1">"c6970"</definedName>
    <definedName name="IQ_ECO_METRIC_6971" hidden="1">"c6971"</definedName>
    <definedName name="IQ_ECO_METRIC_6972" hidden="1">"c6972"</definedName>
    <definedName name="IQ_ECO_METRIC_6973" hidden="1">"c6973"</definedName>
    <definedName name="IQ_ECO_METRIC_6974" hidden="1">"c6974"</definedName>
    <definedName name="IQ_ECO_METRIC_6975" hidden="1">"c6975"</definedName>
    <definedName name="IQ_ECO_METRIC_6976" hidden="1">"c6976"</definedName>
    <definedName name="IQ_ECO_METRIC_6977" hidden="1">"c6977"</definedName>
    <definedName name="IQ_ECO_METRIC_6978" hidden="1">"c6978"</definedName>
    <definedName name="IQ_ECO_METRIC_6979" hidden="1">"c6979"</definedName>
    <definedName name="IQ_ECO_METRIC_6980" hidden="1">"c6980"</definedName>
    <definedName name="IQ_ECO_METRIC_6981" hidden="1">"c6981"</definedName>
    <definedName name="IQ_ECO_METRIC_6982" hidden="1">"c6982"</definedName>
    <definedName name="IQ_ECO_METRIC_6983" hidden="1">"c6983"</definedName>
    <definedName name="IQ_ECO_METRIC_6984" hidden="1">"c6984"</definedName>
    <definedName name="IQ_ECO_METRIC_6985" hidden="1">"c6985"</definedName>
    <definedName name="IQ_ECO_METRIC_6986" hidden="1">"c6986"</definedName>
    <definedName name="IQ_ECO_METRIC_6987" hidden="1">"c6987"</definedName>
    <definedName name="IQ_ECO_METRIC_6988" hidden="1">"c6988"</definedName>
    <definedName name="IQ_ECO_METRIC_6989" hidden="1">"c6989"</definedName>
    <definedName name="IQ_ECO_METRIC_6990" hidden="1">"c6990"</definedName>
    <definedName name="IQ_ECO_METRIC_6991" hidden="1">"c6991"</definedName>
    <definedName name="IQ_ECO_METRIC_6992" hidden="1">"c6992"</definedName>
    <definedName name="IQ_ECO_METRIC_6993" hidden="1">"c6993"</definedName>
    <definedName name="IQ_ECO_METRIC_6994" hidden="1">"c6994"</definedName>
    <definedName name="IQ_ECO_METRIC_6995" hidden="1">"c6995"</definedName>
    <definedName name="IQ_ECO_METRIC_6996" hidden="1">"c6996"</definedName>
    <definedName name="IQ_ECO_METRIC_6997" hidden="1">"c6997"</definedName>
    <definedName name="IQ_ECO_METRIC_6998" hidden="1">"c6998"</definedName>
    <definedName name="IQ_ECO_METRIC_7000" hidden="1">"c7000"</definedName>
    <definedName name="IQ_ECO_METRIC_7001" hidden="1">"c7001"</definedName>
    <definedName name="IQ_ECO_METRIC_7002" hidden="1">"c7002"</definedName>
    <definedName name="IQ_ECO_METRIC_7003" hidden="1">"c7003"</definedName>
    <definedName name="IQ_ECO_METRIC_7004" hidden="1">"c7004"</definedName>
    <definedName name="IQ_ECO_METRIC_7005" hidden="1">"c7005"</definedName>
    <definedName name="IQ_ECO_METRIC_7006" hidden="1">"c7006"</definedName>
    <definedName name="IQ_ECO_METRIC_7007" hidden="1">"c7007"</definedName>
    <definedName name="IQ_ECO_METRIC_7008" hidden="1">"c7008"</definedName>
    <definedName name="IQ_ECO_METRIC_7009" hidden="1">"c7009"</definedName>
    <definedName name="IQ_ECO_METRIC_7010" hidden="1">"c7010"</definedName>
    <definedName name="IQ_ECO_METRIC_7011" hidden="1">"c7011"</definedName>
    <definedName name="IQ_ECO_METRIC_7012" hidden="1">"c7012"</definedName>
    <definedName name="IQ_ECO_METRIC_7013" hidden="1">"c7013"</definedName>
    <definedName name="IQ_ECO_METRIC_7015" hidden="1">"c7015"</definedName>
    <definedName name="IQ_ECO_METRIC_7016" hidden="1">"c7016"</definedName>
    <definedName name="IQ_ECO_METRIC_7017" hidden="1">"c7017"</definedName>
    <definedName name="IQ_ECO_METRIC_7018" hidden="1">"c7018"</definedName>
    <definedName name="IQ_ECO_METRIC_7019" hidden="1">"c7019"</definedName>
    <definedName name="IQ_ECO_METRIC_7020" hidden="1">"c7020"</definedName>
    <definedName name="IQ_ECO_METRIC_7021" hidden="1">"c7021"</definedName>
    <definedName name="IQ_ECO_METRIC_7023" hidden="1">"c7023"</definedName>
    <definedName name="IQ_ECO_METRIC_7024" hidden="1">"c7024"</definedName>
    <definedName name="IQ_ECO_METRIC_7025" hidden="1">"c7025"</definedName>
    <definedName name="IQ_ECO_METRIC_7026" hidden="1">"c7026"</definedName>
    <definedName name="IQ_ECO_METRIC_7027" hidden="1">"c7027"</definedName>
    <definedName name="IQ_ECO_METRIC_7028" hidden="1">"c7028"</definedName>
    <definedName name="IQ_ECO_METRIC_7029" hidden="1">"c7029"</definedName>
    <definedName name="IQ_ECO_METRIC_7030" hidden="1">"c7030"</definedName>
    <definedName name="IQ_ECO_METRIC_7031" hidden="1">"c7031"</definedName>
    <definedName name="IQ_ECO_METRIC_7032" hidden="1">"c7032"</definedName>
    <definedName name="IQ_ECO_METRIC_7033" hidden="1">"c7033"</definedName>
    <definedName name="IQ_ECO_METRIC_7034" hidden="1">"c7034"</definedName>
    <definedName name="IQ_ECO_METRIC_7035" hidden="1">"c7035"</definedName>
    <definedName name="IQ_ECO_METRIC_7036" hidden="1">"c7036"</definedName>
    <definedName name="IQ_ECO_METRIC_7037" hidden="1">"c7037"</definedName>
    <definedName name="IQ_ECO_METRIC_7038" hidden="1">"c7038"</definedName>
    <definedName name="IQ_ECO_METRIC_7039" hidden="1">"c7039"</definedName>
    <definedName name="IQ_ECO_METRIC_7040" hidden="1">"c7040"</definedName>
    <definedName name="IQ_ECO_METRIC_7041" hidden="1">"c7041"</definedName>
    <definedName name="IQ_ECO_METRIC_7042" hidden="1">"c7042"</definedName>
    <definedName name="IQ_ECO_METRIC_7043" hidden="1">"c7043"</definedName>
    <definedName name="IQ_ECO_METRIC_7044" hidden="1">"c7044"</definedName>
    <definedName name="IQ_ECO_METRIC_7045" hidden="1">"c7045"</definedName>
    <definedName name="IQ_ECO_METRIC_7046" hidden="1">"c7046"</definedName>
    <definedName name="IQ_ECO_METRIC_7047" hidden="1">"c7047"</definedName>
    <definedName name="IQ_ECO_METRIC_7048" hidden="1">"c7048"</definedName>
    <definedName name="IQ_ECO_METRIC_7049" hidden="1">"c7049"</definedName>
    <definedName name="IQ_ECO_METRIC_7050" hidden="1">"c7050"</definedName>
    <definedName name="IQ_ECO_METRIC_7051" hidden="1">"c7051"</definedName>
    <definedName name="IQ_ECO_METRIC_7052" hidden="1">"c7052"</definedName>
    <definedName name="IQ_ECO_METRIC_7053" hidden="1">"c7053"</definedName>
    <definedName name="IQ_ECO_METRIC_7054" hidden="1">"c7054"</definedName>
    <definedName name="IQ_ECO_METRIC_7055" hidden="1">"c7055"</definedName>
    <definedName name="IQ_ECO_METRIC_7056" hidden="1">"c7056"</definedName>
    <definedName name="IQ_ECO_METRIC_7057" hidden="1">"c7057"</definedName>
    <definedName name="IQ_ECO_METRIC_7058" hidden="1">"c7058"</definedName>
    <definedName name="IQ_ECO_METRIC_7059" hidden="1">"c7059"</definedName>
    <definedName name="IQ_ECO_METRIC_7060" hidden="1">"c7060"</definedName>
    <definedName name="IQ_ECO_METRIC_7061" hidden="1">"c7061"</definedName>
    <definedName name="IQ_ECO_METRIC_7062" hidden="1">"c7062"</definedName>
    <definedName name="IQ_ECO_METRIC_7063" hidden="1">"c7063"</definedName>
    <definedName name="IQ_ECO_METRIC_7064" hidden="1">"c7064"</definedName>
    <definedName name="IQ_ECO_METRIC_7065" hidden="1">"c7065"</definedName>
    <definedName name="IQ_ECO_METRIC_7066" hidden="1">"c7066"</definedName>
    <definedName name="IQ_ECO_METRIC_7067" hidden="1">"c7067"</definedName>
    <definedName name="IQ_ECO_METRIC_7068" hidden="1">"c7068"</definedName>
    <definedName name="IQ_ECO_METRIC_7069" hidden="1">"c7069"</definedName>
    <definedName name="IQ_ECO_METRIC_7070" hidden="1">"c7070"</definedName>
    <definedName name="IQ_ECO_METRIC_7071" hidden="1">"c7071"</definedName>
    <definedName name="IQ_ECO_METRIC_7072" hidden="1">"c7072"</definedName>
    <definedName name="IQ_ECO_METRIC_7073" hidden="1">"c7073"</definedName>
    <definedName name="IQ_ECO_METRIC_7074" hidden="1">"c7074"</definedName>
    <definedName name="IQ_ECO_METRIC_7075" hidden="1">"c7075"</definedName>
    <definedName name="IQ_ECO_METRIC_7076" hidden="1">"c7076"</definedName>
    <definedName name="IQ_ECO_METRIC_7077" hidden="1">"c7077"</definedName>
    <definedName name="IQ_ECO_METRIC_7078" hidden="1">"c7078"</definedName>
    <definedName name="IQ_ECO_METRIC_7079" hidden="1">"c7079"</definedName>
    <definedName name="IQ_ECO_METRIC_7080" hidden="1">"c7080"</definedName>
    <definedName name="IQ_ECO_METRIC_7081" hidden="1">"c7081"</definedName>
    <definedName name="IQ_ECO_METRIC_7082" hidden="1">"c7082"</definedName>
    <definedName name="IQ_ECO_METRIC_7083" hidden="1">"c7083"</definedName>
    <definedName name="IQ_ECO_METRIC_7084" hidden="1">"c7084"</definedName>
    <definedName name="IQ_ECO_METRIC_7085" hidden="1">"c7085"</definedName>
    <definedName name="IQ_ECO_METRIC_7086" hidden="1">"c7086"</definedName>
    <definedName name="IQ_ECO_METRIC_7087" hidden="1">"c7087"</definedName>
    <definedName name="IQ_ECO_METRIC_7088" hidden="1">"c7088"</definedName>
    <definedName name="IQ_ECO_METRIC_7089" hidden="1">"c7089"</definedName>
    <definedName name="IQ_ECO_METRIC_7090" hidden="1">"c7090"</definedName>
    <definedName name="IQ_ECO_METRIC_7091" hidden="1">"c7091"</definedName>
    <definedName name="IQ_ECO_METRIC_7092" hidden="1">"c7092"</definedName>
    <definedName name="IQ_ECO_METRIC_7093" hidden="1">"c7093"</definedName>
    <definedName name="IQ_ECO_METRIC_7094" hidden="1">"c7094"</definedName>
    <definedName name="IQ_ECO_METRIC_7095" hidden="1">"c7095"</definedName>
    <definedName name="IQ_ECO_METRIC_7096" hidden="1">"c7096"</definedName>
    <definedName name="IQ_ECO_METRIC_7097" hidden="1">"c7097"</definedName>
    <definedName name="IQ_ECO_METRIC_7098" hidden="1">"c7098"</definedName>
    <definedName name="IQ_ECO_METRIC_7099" hidden="1">"c7099"</definedName>
    <definedName name="IQ_ECO_METRIC_7100" hidden="1">"c7100"</definedName>
    <definedName name="IQ_ECO_METRIC_7101" hidden="1">"c7101"</definedName>
    <definedName name="IQ_ECO_METRIC_7102" hidden="1">"c7102"</definedName>
    <definedName name="IQ_ECO_METRIC_7103" hidden="1">"c7103"</definedName>
    <definedName name="IQ_ECO_METRIC_7104" hidden="1">"c7104"</definedName>
    <definedName name="IQ_ECO_METRIC_7105" hidden="1">"c7105"</definedName>
    <definedName name="IQ_ECO_METRIC_7106" hidden="1">"c7106"</definedName>
    <definedName name="IQ_ECO_METRIC_7107" hidden="1">"c7107"</definedName>
    <definedName name="IQ_ECO_METRIC_7108" hidden="1">"c7108"</definedName>
    <definedName name="IQ_ECO_METRIC_7109" hidden="1">"c7109"</definedName>
    <definedName name="IQ_ECO_METRIC_7110" hidden="1">"c7110"</definedName>
    <definedName name="IQ_ECO_METRIC_7111" hidden="1">"c7111"</definedName>
    <definedName name="IQ_ECO_METRIC_7112" hidden="1">"c7112"</definedName>
    <definedName name="IQ_ECO_METRIC_7113" hidden="1">"c7113"</definedName>
    <definedName name="IQ_ECO_METRIC_7114" hidden="1">"c7114"</definedName>
    <definedName name="IQ_ECO_METRIC_7115" hidden="1">"c7115"</definedName>
    <definedName name="IQ_ECO_METRIC_7116" hidden="1">"c7116"</definedName>
    <definedName name="IQ_ECO_METRIC_7117" hidden="1">"c7117"</definedName>
    <definedName name="IQ_ECO_METRIC_7119" hidden="1">"c7119"</definedName>
    <definedName name="IQ_ECO_METRIC_7120" hidden="1">"c7120"</definedName>
    <definedName name="IQ_ECO_METRIC_7121" hidden="1">"c7121"</definedName>
    <definedName name="IQ_ECO_METRIC_7122" hidden="1">"c7122"</definedName>
    <definedName name="IQ_ECO_METRIC_7123" hidden="1">"c7123"</definedName>
    <definedName name="IQ_ECO_METRIC_7124" hidden="1">"c7124"</definedName>
    <definedName name="IQ_ECO_METRIC_7125" hidden="1">"c7125"</definedName>
    <definedName name="IQ_ECO_METRIC_7126" hidden="1">"c7126"</definedName>
    <definedName name="IQ_ECO_METRIC_7127" hidden="1">"c7127"</definedName>
    <definedName name="IQ_ECO_METRIC_7128" hidden="1">"c7128"</definedName>
    <definedName name="IQ_ECO_METRIC_7129" hidden="1">"c7129"</definedName>
    <definedName name="IQ_ECO_METRIC_7130" hidden="1">"c7130"</definedName>
    <definedName name="IQ_ECO_METRIC_7131" hidden="1">"c7131"</definedName>
    <definedName name="IQ_ECO_METRIC_7132" hidden="1">"c7132"</definedName>
    <definedName name="IQ_ECO_METRIC_7133" hidden="1">"c7133"</definedName>
    <definedName name="IQ_ECO_METRIC_7134" hidden="1">"c7134"</definedName>
    <definedName name="IQ_ECO_METRIC_7135" hidden="1">"c7135"</definedName>
    <definedName name="IQ_ECO_METRIC_7136" hidden="1">"c7136"</definedName>
    <definedName name="IQ_ECO_METRIC_7137" hidden="1">"c7137"</definedName>
    <definedName name="IQ_ECO_METRIC_7138" hidden="1">"c7138"</definedName>
    <definedName name="IQ_ECO_METRIC_7139" hidden="1">"c7139"</definedName>
    <definedName name="IQ_ECO_METRIC_7140" hidden="1">"c7140"</definedName>
    <definedName name="IQ_ECO_METRIC_7141" hidden="1">"c7141"</definedName>
    <definedName name="IQ_ECO_METRIC_7142" hidden="1">"c7142"</definedName>
    <definedName name="IQ_ECO_METRIC_7143" hidden="1">"c7143"</definedName>
    <definedName name="IQ_ECO_METRIC_7144" hidden="1">"c7144"</definedName>
    <definedName name="IQ_ECO_METRIC_7145" hidden="1">"c7145"</definedName>
    <definedName name="IQ_ECO_METRIC_7146" hidden="1">"c7146"</definedName>
    <definedName name="IQ_ECO_METRIC_7148" hidden="1">"c7148"</definedName>
    <definedName name="IQ_ECO_METRIC_7149" hidden="1">"c7149"</definedName>
    <definedName name="IQ_ECO_METRIC_7150" hidden="1">"c7150"</definedName>
    <definedName name="IQ_ECO_METRIC_7151" hidden="1">"c7151"</definedName>
    <definedName name="IQ_ECO_METRIC_7152" hidden="1">"c7152"</definedName>
    <definedName name="IQ_ECO_METRIC_7153" hidden="1">"c7153"</definedName>
    <definedName name="IQ_ECO_METRIC_7154" hidden="1">"c7154"</definedName>
    <definedName name="IQ_ECO_METRIC_7155" hidden="1">"c7155"</definedName>
    <definedName name="IQ_ECO_METRIC_7156" hidden="1">"c7156"</definedName>
    <definedName name="IQ_ECO_METRIC_7157" hidden="1">"c7157"</definedName>
    <definedName name="IQ_ECO_METRIC_7158" hidden="1">"c7158"</definedName>
    <definedName name="IQ_ECO_METRIC_7159" hidden="1">"c7159"</definedName>
    <definedName name="IQ_ECO_METRIC_7160" hidden="1">"c7160"</definedName>
    <definedName name="IQ_ECO_METRIC_7161" hidden="1">"c7161"</definedName>
    <definedName name="IQ_ECO_METRIC_7162" hidden="1">"c7162"</definedName>
    <definedName name="IQ_ECO_METRIC_7163" hidden="1">"c7163"</definedName>
    <definedName name="IQ_ECO_METRIC_7164" hidden="1">"c7164"</definedName>
    <definedName name="IQ_ECO_METRIC_7165" hidden="1">"c7165"</definedName>
    <definedName name="IQ_ECO_METRIC_7166" hidden="1">"c7166"</definedName>
    <definedName name="IQ_ECO_METRIC_7167" hidden="1">"c7167"</definedName>
    <definedName name="IQ_ECO_METRIC_7168" hidden="1">"c7168"</definedName>
    <definedName name="IQ_ECO_METRIC_7169" hidden="1">"c7169"</definedName>
    <definedName name="IQ_ECO_METRIC_7170" hidden="1">"c7170"</definedName>
    <definedName name="IQ_ECO_METRIC_7171" hidden="1">"c7171"</definedName>
    <definedName name="IQ_ECO_METRIC_7172" hidden="1">"c7172"</definedName>
    <definedName name="IQ_ECO_METRIC_7173" hidden="1">"c7173"</definedName>
    <definedName name="IQ_ECO_METRIC_7174" hidden="1">"c7174"</definedName>
    <definedName name="IQ_ECO_METRIC_7175" hidden="1">"c7175"</definedName>
    <definedName name="IQ_ECO_METRIC_7176" hidden="1">"c7176"</definedName>
    <definedName name="IQ_ECO_METRIC_7177" hidden="1">"c7177"</definedName>
    <definedName name="IQ_ECO_METRIC_7178" hidden="1">"c7178"</definedName>
    <definedName name="IQ_ECO_METRIC_7179" hidden="1">"c7179"</definedName>
    <definedName name="IQ_ECO_METRIC_7180" hidden="1">"c7180"</definedName>
    <definedName name="IQ_ECO_METRIC_7182" hidden="1">"c7182"</definedName>
    <definedName name="IQ_ECO_METRIC_7183" hidden="1">"c7183"</definedName>
    <definedName name="IQ_ECO_METRIC_7184" hidden="1">"c7184"</definedName>
    <definedName name="IQ_ECO_METRIC_7185" hidden="1">"c7185"</definedName>
    <definedName name="IQ_ECO_METRIC_7186" hidden="1">"c7186"</definedName>
    <definedName name="IQ_ECO_METRIC_7187" hidden="1">"c7187"</definedName>
    <definedName name="IQ_ECO_METRIC_7188" hidden="1">"c7188"</definedName>
    <definedName name="IQ_ECO_METRIC_7189" hidden="1">"c7189"</definedName>
    <definedName name="IQ_ECO_METRIC_7190" hidden="1">"c7190"</definedName>
    <definedName name="IQ_ECO_METRIC_7191" hidden="1">"c7191"</definedName>
    <definedName name="IQ_ECO_METRIC_7192" hidden="1">"c7192"</definedName>
    <definedName name="IQ_ECO_METRIC_7193" hidden="1">"c7193"</definedName>
    <definedName name="IQ_ECO_METRIC_7194" hidden="1">"c7194"</definedName>
    <definedName name="IQ_ECO_METRIC_7195" hidden="1">"c7195"</definedName>
    <definedName name="IQ_ECO_METRIC_7196" hidden="1">"c7196"</definedName>
    <definedName name="IQ_ECO_METRIC_7197" hidden="1">"c7197"</definedName>
    <definedName name="IQ_ECO_METRIC_7198" hidden="1">"c7198"</definedName>
    <definedName name="IQ_ECO_METRIC_7199" hidden="1">"c7199"</definedName>
    <definedName name="IQ_ECO_METRIC_7200" hidden="1">"c7200"</definedName>
    <definedName name="IQ_ECO_METRIC_7201" hidden="1">"c7201"</definedName>
    <definedName name="IQ_ECO_METRIC_7202" hidden="1">"c7202"</definedName>
    <definedName name="IQ_ECO_METRIC_7203" hidden="1">"c7203"</definedName>
    <definedName name="IQ_ECO_METRIC_7204" hidden="1">"c7204"</definedName>
    <definedName name="IQ_ECO_METRIC_7205" hidden="1">"c7205"</definedName>
    <definedName name="IQ_ECO_METRIC_7206" hidden="1">"c7206"</definedName>
    <definedName name="IQ_ECO_METRIC_7207" hidden="1">"c7207"</definedName>
    <definedName name="IQ_ECO_METRIC_7208" hidden="1">"c7208"</definedName>
    <definedName name="IQ_ECO_METRIC_7209" hidden="1">"c7209"</definedName>
    <definedName name="IQ_ECO_METRIC_7210" hidden="1">"c7210"</definedName>
    <definedName name="IQ_ECO_METRIC_7211" hidden="1">"c7211"</definedName>
    <definedName name="IQ_ECO_METRIC_7212" hidden="1">"c7212"</definedName>
    <definedName name="IQ_ECO_METRIC_7213" hidden="1">"c7213"</definedName>
    <definedName name="IQ_ECO_METRIC_7214" hidden="1">"c7214"</definedName>
    <definedName name="IQ_ECO_METRIC_7215" hidden="1">"c7215"</definedName>
    <definedName name="IQ_ECO_METRIC_7216" hidden="1">"c7216"</definedName>
    <definedName name="IQ_ECO_METRIC_7217" hidden="1">"c7217"</definedName>
    <definedName name="IQ_ECO_METRIC_7218" hidden="1">"c7218"</definedName>
    <definedName name="IQ_ECO_METRIC_7220" hidden="1">"c7220"</definedName>
    <definedName name="IQ_ECO_METRIC_7221" hidden="1">"c7221"</definedName>
    <definedName name="IQ_ECO_METRIC_7222" hidden="1">"c7222"</definedName>
    <definedName name="IQ_ECO_METRIC_7223" hidden="1">"c7223"</definedName>
    <definedName name="IQ_ECO_METRIC_7224" hidden="1">"c7224"</definedName>
    <definedName name="IQ_ECO_METRIC_7225" hidden="1">"c7225"</definedName>
    <definedName name="IQ_ECO_METRIC_7226" hidden="1">"c7226"</definedName>
    <definedName name="IQ_ECO_METRIC_7227" hidden="1">"c7227"</definedName>
    <definedName name="IQ_ECO_METRIC_7228" hidden="1">"c7228"</definedName>
    <definedName name="IQ_ECO_METRIC_7229" hidden="1">"c7229"</definedName>
    <definedName name="IQ_ECO_METRIC_7230" hidden="1">"c7230"</definedName>
    <definedName name="IQ_ECO_METRIC_7231" hidden="1">"c7231"</definedName>
    <definedName name="IQ_ECO_METRIC_7232" hidden="1">"c7232"</definedName>
    <definedName name="IQ_ECO_METRIC_7233" hidden="1">"c7233"</definedName>
    <definedName name="IQ_ECO_METRIC_7235" hidden="1">"c7235"</definedName>
    <definedName name="IQ_ECO_METRIC_7236" hidden="1">"c7236"</definedName>
    <definedName name="IQ_ECO_METRIC_7237" hidden="1">"c7237"</definedName>
    <definedName name="IQ_ECO_METRIC_7238" hidden="1">"c7238"</definedName>
    <definedName name="IQ_ECO_METRIC_7239" hidden="1">"c7239"</definedName>
    <definedName name="IQ_ECO_METRIC_7240" hidden="1">"c7240"</definedName>
    <definedName name="IQ_ECO_METRIC_7241" hidden="1">"c7241"</definedName>
    <definedName name="IQ_ECO_METRIC_7243" hidden="1">"c7243"</definedName>
    <definedName name="IQ_ECO_METRIC_7244" hidden="1">"c7244"</definedName>
    <definedName name="IQ_ECO_METRIC_7245" hidden="1">"c7245"</definedName>
    <definedName name="IQ_ECO_METRIC_7246" hidden="1">"c7246"</definedName>
    <definedName name="IQ_ECO_METRIC_7247" hidden="1">"c7247"</definedName>
    <definedName name="IQ_ECO_METRIC_7248" hidden="1">"c7248"</definedName>
    <definedName name="IQ_ECO_METRIC_7249" hidden="1">"c7249"</definedName>
    <definedName name="IQ_ECO_METRIC_7250" hidden="1">"c7250"</definedName>
    <definedName name="IQ_ECO_METRIC_7251" hidden="1">"c7251"</definedName>
    <definedName name="IQ_ECO_METRIC_7252" hidden="1">"c7252"</definedName>
    <definedName name="IQ_ECO_METRIC_7253" hidden="1">"c7253"</definedName>
    <definedName name="IQ_ECO_METRIC_7254" hidden="1">"c7254"</definedName>
    <definedName name="IQ_ECO_METRIC_7255" hidden="1">"c7255"</definedName>
    <definedName name="IQ_ECO_METRIC_7256" hidden="1">"c7256"</definedName>
    <definedName name="IQ_ECO_METRIC_7257" hidden="1">"c7257"</definedName>
    <definedName name="IQ_ECO_METRIC_7258" hidden="1">"c7258"</definedName>
    <definedName name="IQ_ECO_METRIC_7259" hidden="1">"c7259"</definedName>
    <definedName name="IQ_ECO_METRIC_7260" hidden="1">"c7260"</definedName>
    <definedName name="IQ_ECO_METRIC_7261" hidden="1">"c7261"</definedName>
    <definedName name="IQ_ECO_METRIC_7262" hidden="1">"c7262"</definedName>
    <definedName name="IQ_ECO_METRIC_7263" hidden="1">"c7263"</definedName>
    <definedName name="IQ_ECO_METRIC_7264" hidden="1">"c7264"</definedName>
    <definedName name="IQ_ECO_METRIC_7265" hidden="1">"c7265"</definedName>
    <definedName name="IQ_ECO_METRIC_7266" hidden="1">"c7266"</definedName>
    <definedName name="IQ_ECO_METRIC_7267" hidden="1">"c7267"</definedName>
    <definedName name="IQ_ECO_METRIC_7268" hidden="1">"c7268"</definedName>
    <definedName name="IQ_ECO_METRIC_7269" hidden="1">"c7269"</definedName>
    <definedName name="IQ_ECO_METRIC_7270" hidden="1">"c7270"</definedName>
    <definedName name="IQ_ECO_METRIC_7272" hidden="1">"c7272"</definedName>
    <definedName name="IQ_ECO_METRIC_7273" hidden="1">"c7273"</definedName>
    <definedName name="IQ_ECO_METRIC_7274" hidden="1">"c7274"</definedName>
    <definedName name="IQ_ECO_METRIC_7275" hidden="1">"c7275"</definedName>
    <definedName name="IQ_ECO_METRIC_7276" hidden="1">"c7276"</definedName>
    <definedName name="IQ_ECO_METRIC_7277" hidden="1">"c7277"</definedName>
    <definedName name="IQ_ECO_METRIC_7278" hidden="1">"c7278"</definedName>
    <definedName name="IQ_ECO_METRIC_7279" hidden="1">"c7279"</definedName>
    <definedName name="IQ_ECO_METRIC_7280" hidden="1">"c7280"</definedName>
    <definedName name="IQ_ECO_METRIC_7281" hidden="1">"c7281"</definedName>
    <definedName name="IQ_ECO_METRIC_7282" hidden="1">"c7282"</definedName>
    <definedName name="IQ_ECO_METRIC_7283" hidden="1">"c7283"</definedName>
    <definedName name="IQ_ECO_METRIC_7284" hidden="1">"c7284"</definedName>
    <definedName name="IQ_ECO_METRIC_7285" hidden="1">"c7285"</definedName>
    <definedName name="IQ_ECO_METRIC_7286" hidden="1">"c7286"</definedName>
    <definedName name="IQ_ECO_METRIC_7287" hidden="1">"c7287"</definedName>
    <definedName name="IQ_ECO_METRIC_7288" hidden="1">"c7288"</definedName>
    <definedName name="IQ_ECO_METRIC_7289" hidden="1">"c7289"</definedName>
    <definedName name="IQ_ECO_METRIC_7290" hidden="1">"c7290"</definedName>
    <definedName name="IQ_ECO_METRIC_7291" hidden="1">"c7291"</definedName>
    <definedName name="IQ_ECO_METRIC_7292" hidden="1">"c7292"</definedName>
    <definedName name="IQ_ECO_METRIC_7293" hidden="1">"c7293"</definedName>
    <definedName name="IQ_ECO_METRIC_7294" hidden="1">"c7294"</definedName>
    <definedName name="IQ_ECO_METRIC_7295" hidden="1">"c7295"</definedName>
    <definedName name="IQ_ECO_METRIC_7296" hidden="1">"c7296"</definedName>
    <definedName name="IQ_ECO_METRIC_7297" hidden="1">"c7297"</definedName>
    <definedName name="IQ_ECO_METRIC_7298" hidden="1">"c7298"</definedName>
    <definedName name="IQ_ECO_METRIC_7299" hidden="1">"c7299"</definedName>
    <definedName name="IQ_ECO_METRIC_7300" hidden="1">"c7300"</definedName>
    <definedName name="IQ_ECO_METRIC_7301" hidden="1">"c7301"</definedName>
    <definedName name="IQ_ECO_METRIC_7302" hidden="1">"c7302"</definedName>
    <definedName name="IQ_ECO_METRIC_7303" hidden="1">"c7303"</definedName>
    <definedName name="IQ_ECO_METRIC_7304" hidden="1">"c7304"</definedName>
    <definedName name="IQ_ECO_METRIC_7305" hidden="1">"c7305"</definedName>
    <definedName name="IQ_ECO_METRIC_7306" hidden="1">"c7306"</definedName>
    <definedName name="IQ_ECO_METRIC_7307" hidden="1">"c7307"</definedName>
    <definedName name="IQ_ECO_METRIC_7308" hidden="1">"c7308"</definedName>
    <definedName name="IQ_ECO_METRIC_7309" hidden="1">"c7309"</definedName>
    <definedName name="IQ_ECO_METRIC_7310" hidden="1">"c7310"</definedName>
    <definedName name="IQ_ECO_METRIC_7311" hidden="1">"c7311"</definedName>
    <definedName name="IQ_ECO_METRIC_7312" hidden="1">"c7312"</definedName>
    <definedName name="IQ_ECO_METRIC_7313" hidden="1">"c7313"</definedName>
    <definedName name="IQ_ECO_METRIC_7314" hidden="1">"c7314"</definedName>
    <definedName name="IQ_ECO_METRIC_7315" hidden="1">"c7315"</definedName>
    <definedName name="IQ_ECO_METRIC_7316" hidden="1">"c7316"</definedName>
    <definedName name="IQ_ECO_METRIC_7317" hidden="1">"c7317"</definedName>
    <definedName name="IQ_ECO_METRIC_7318" hidden="1">"c7318"</definedName>
    <definedName name="IQ_ECO_METRIC_7319" hidden="1">"c7319"</definedName>
    <definedName name="IQ_ECO_METRIC_7320" hidden="1">"c7320"</definedName>
    <definedName name="IQ_ECO_METRIC_7321" hidden="1">"c7321"</definedName>
    <definedName name="IQ_ECO_METRIC_7322" hidden="1">"c7322"</definedName>
    <definedName name="IQ_ECO_METRIC_7323" hidden="1">"c7323"</definedName>
    <definedName name="IQ_ECO_METRIC_7324" hidden="1">"c7324"</definedName>
    <definedName name="IQ_ECO_METRIC_7325" hidden="1">"c7325"</definedName>
    <definedName name="IQ_ECO_METRIC_7326" hidden="1">"c7326"</definedName>
    <definedName name="IQ_ECO_METRIC_7327" hidden="1">"c7327"</definedName>
    <definedName name="IQ_ECO_METRIC_7328" hidden="1">"c7328"</definedName>
    <definedName name="IQ_ECO_METRIC_7329" hidden="1">"c7329"</definedName>
    <definedName name="IQ_ECO_METRIC_7330" hidden="1">"c7330"</definedName>
    <definedName name="IQ_ECO_METRIC_7331" hidden="1">"c7331"</definedName>
    <definedName name="IQ_ECO_METRIC_7332" hidden="1">"c7332"</definedName>
    <definedName name="IQ_ECO_METRIC_7333" hidden="1">"c7333"</definedName>
    <definedName name="IQ_ECO_METRIC_7334" hidden="1">"c7334"</definedName>
    <definedName name="IQ_ECO_METRIC_7335" hidden="1">"c7335"</definedName>
    <definedName name="IQ_ECO_METRIC_7336" hidden="1">"c7336"</definedName>
    <definedName name="IQ_ECO_METRIC_7337" hidden="1">"c7337"</definedName>
    <definedName name="IQ_ECO_METRIC_7339" hidden="1">"c7339"</definedName>
    <definedName name="IQ_ECO_METRIC_7341" hidden="1">"c7341"</definedName>
    <definedName name="IQ_ECO_METRIC_7342" hidden="1">"c7342"</definedName>
    <definedName name="IQ_ECO_METRIC_7343" hidden="1">"c7343"</definedName>
    <definedName name="IQ_ECO_METRIC_7344" hidden="1">"c7344"</definedName>
    <definedName name="IQ_ECO_METRIC_7345" hidden="1">"c7345"</definedName>
    <definedName name="IQ_ECO_METRIC_7346" hidden="1">"c7346"</definedName>
    <definedName name="IQ_ECO_METRIC_7347" hidden="1">"c7347"</definedName>
    <definedName name="IQ_ECO_METRIC_7348" hidden="1">"c7348"</definedName>
    <definedName name="IQ_ECO_METRIC_7349" hidden="1">"c7349"</definedName>
    <definedName name="IQ_ECO_METRIC_7350" hidden="1">"c7350"</definedName>
    <definedName name="IQ_ECO_METRIC_7351" hidden="1">"c7351"</definedName>
    <definedName name="IQ_ECO_METRIC_7352" hidden="1">"c7352"</definedName>
    <definedName name="IQ_ECO_METRIC_7353" hidden="1">"c7353"</definedName>
    <definedName name="IQ_ECO_METRIC_7354" hidden="1">"c7354"</definedName>
    <definedName name="IQ_ECO_METRIC_7355" hidden="1">"c7355"</definedName>
    <definedName name="IQ_ECO_METRIC_7356" hidden="1">"c7356"</definedName>
    <definedName name="IQ_ECO_METRIC_7357" hidden="1">"c7357"</definedName>
    <definedName name="IQ_ECO_METRIC_7358" hidden="1">"c7358"</definedName>
    <definedName name="IQ_ECO_METRIC_7359" hidden="1">"c7359"</definedName>
    <definedName name="IQ_ECO_METRIC_7360" hidden="1">"c7360"</definedName>
    <definedName name="IQ_ECO_METRIC_7361" hidden="1">"c7361"</definedName>
    <definedName name="IQ_ECO_METRIC_7362" hidden="1">"c7362"</definedName>
    <definedName name="IQ_ECO_METRIC_7363" hidden="1">"c7363"</definedName>
    <definedName name="IQ_ECO_METRIC_7364" hidden="1">"c7364"</definedName>
    <definedName name="IQ_ECO_METRIC_7365" hidden="1">"c7365"</definedName>
    <definedName name="IQ_ECO_METRIC_7366" hidden="1">"c7366"</definedName>
    <definedName name="IQ_ECO_METRIC_7368" hidden="1">"c7368"</definedName>
    <definedName name="IQ_ECO_METRIC_7369" hidden="1">"c7369"</definedName>
    <definedName name="IQ_ECO_METRIC_7370" hidden="1">"c7370"</definedName>
    <definedName name="IQ_ECO_METRIC_7371" hidden="1">"c7371"</definedName>
    <definedName name="IQ_ECO_METRIC_7372" hidden="1">"c7372"</definedName>
    <definedName name="IQ_ECO_METRIC_7373" hidden="1">"c7373"</definedName>
    <definedName name="IQ_ECO_METRIC_7374" hidden="1">"c7374"</definedName>
    <definedName name="IQ_ECO_METRIC_7375" hidden="1">"c7375"</definedName>
    <definedName name="IQ_ECO_METRIC_7376" hidden="1">"c7376"</definedName>
    <definedName name="IQ_ECO_METRIC_7377" hidden="1">"c7377"</definedName>
    <definedName name="IQ_ECO_METRIC_7378" hidden="1">"c7378"</definedName>
    <definedName name="IQ_ECO_METRIC_7379" hidden="1">"c7379"</definedName>
    <definedName name="IQ_ECO_METRIC_7380" hidden="1">"c7380"</definedName>
    <definedName name="IQ_ECO_METRIC_7381" hidden="1">"c7381"</definedName>
    <definedName name="IQ_ECO_METRIC_7382" hidden="1">"c7382"</definedName>
    <definedName name="IQ_ECO_METRIC_7383" hidden="1">"c7383"</definedName>
    <definedName name="IQ_ECO_METRIC_7384" hidden="1">"c7384"</definedName>
    <definedName name="IQ_ECO_METRIC_7385" hidden="1">"c7385"</definedName>
    <definedName name="IQ_ECO_METRIC_7386" hidden="1">"c7386"</definedName>
    <definedName name="IQ_ECO_METRIC_7387" hidden="1">"c7387"</definedName>
    <definedName name="IQ_ECO_METRIC_7388" hidden="1">"c7388"</definedName>
    <definedName name="IQ_ECO_METRIC_7389" hidden="1">"c7389"</definedName>
    <definedName name="IQ_ECO_METRIC_7390" hidden="1">"c7390"</definedName>
    <definedName name="IQ_ECO_METRIC_7391" hidden="1">"c7391"</definedName>
    <definedName name="IQ_ECO_METRIC_7392" hidden="1">"c7392"</definedName>
    <definedName name="IQ_ECO_METRIC_7393" hidden="1">"c7393"</definedName>
    <definedName name="IQ_ECO_METRIC_7394" hidden="1">"c7394"</definedName>
    <definedName name="IQ_ECO_METRIC_7395" hidden="1">"c7395"</definedName>
    <definedName name="IQ_ECO_METRIC_7396" hidden="1">"c7396"</definedName>
    <definedName name="IQ_ECO_METRIC_7397" hidden="1">"c7397"</definedName>
    <definedName name="IQ_ECO_METRIC_7398" hidden="1">"c7398"</definedName>
    <definedName name="IQ_ECO_METRIC_7399" hidden="1">"c7399"</definedName>
    <definedName name="IQ_ECO_METRIC_7400" hidden="1">"c7400"</definedName>
    <definedName name="IQ_ECO_METRIC_7402" hidden="1">"c7402"</definedName>
    <definedName name="IQ_ECO_METRIC_7403" hidden="1">"c7403"</definedName>
    <definedName name="IQ_ECO_METRIC_7404" hidden="1">"c7404"</definedName>
    <definedName name="IQ_ECO_METRIC_7405" hidden="1">"c7405"</definedName>
    <definedName name="IQ_ECO_METRIC_7406" hidden="1">"c7406"</definedName>
    <definedName name="IQ_ECO_METRIC_7407" hidden="1">"c7407"</definedName>
    <definedName name="IQ_ECO_METRIC_7408" hidden="1">"c7408"</definedName>
    <definedName name="IQ_ECO_METRIC_7409" hidden="1">"c7409"</definedName>
    <definedName name="IQ_ECO_METRIC_7410" hidden="1">"c7410"</definedName>
    <definedName name="IQ_ECO_METRIC_7411" hidden="1">"c7411"</definedName>
    <definedName name="IQ_ECO_METRIC_7412" hidden="1">"c7412"</definedName>
    <definedName name="IQ_ECO_METRIC_7413" hidden="1">"c7413"</definedName>
    <definedName name="IQ_ECO_METRIC_7414" hidden="1">"c7414"</definedName>
    <definedName name="IQ_ECO_METRIC_7415" hidden="1">"c7415"</definedName>
    <definedName name="IQ_ECO_METRIC_7416" hidden="1">"c7416"</definedName>
    <definedName name="IQ_ECO_METRIC_7417" hidden="1">"c7417"</definedName>
    <definedName name="IQ_ECO_METRIC_7418" hidden="1">"c7418"</definedName>
    <definedName name="IQ_ECO_METRIC_7419" hidden="1">"c7419"</definedName>
    <definedName name="IQ_ECO_METRIC_7420" hidden="1">"c7420"</definedName>
    <definedName name="IQ_ECO_METRIC_7421" hidden="1">"c7421"</definedName>
    <definedName name="IQ_ECO_METRIC_7422" hidden="1">"c7422"</definedName>
    <definedName name="IQ_ECO_METRIC_7423" hidden="1">"c7423"</definedName>
    <definedName name="IQ_ECO_METRIC_7424" hidden="1">"c7424"</definedName>
    <definedName name="IQ_ECO_METRIC_7425" hidden="1">"c7425"</definedName>
    <definedName name="IQ_ECO_METRIC_7426" hidden="1">"c7426"</definedName>
    <definedName name="IQ_ECO_METRIC_7427" hidden="1">"c7427"</definedName>
    <definedName name="IQ_ECO_METRIC_7428" hidden="1">"c7428"</definedName>
    <definedName name="IQ_ECO_METRIC_7429" hidden="1">"c7429"</definedName>
    <definedName name="IQ_ECO_METRIC_7430" hidden="1">"c7430"</definedName>
    <definedName name="IQ_ECO_METRIC_7431" hidden="1">"c7431"</definedName>
    <definedName name="IQ_ECO_METRIC_7432" hidden="1">"c7432"</definedName>
    <definedName name="IQ_ECO_METRIC_7433" hidden="1">"c7433"</definedName>
    <definedName name="IQ_ECO_METRIC_7434" hidden="1">"c7434"</definedName>
    <definedName name="IQ_ECO_METRIC_7435" hidden="1">"c7435"</definedName>
    <definedName name="IQ_ECO_METRIC_7436" hidden="1">"c7436"</definedName>
    <definedName name="IQ_ECO_METRIC_7437" hidden="1">"c7437"</definedName>
    <definedName name="IQ_ECO_METRIC_7438" hidden="1">"c7438"</definedName>
    <definedName name="IQ_ECO_METRIC_7440" hidden="1">"c7440"</definedName>
    <definedName name="IQ_ECO_METRIC_7441" hidden="1">"c7441"</definedName>
    <definedName name="IQ_ECO_METRIC_7442" hidden="1">"c7442"</definedName>
    <definedName name="IQ_ECO_METRIC_7443" hidden="1">"c7443"</definedName>
    <definedName name="IQ_ECO_METRIC_7444" hidden="1">"c7444"</definedName>
    <definedName name="IQ_ECO_METRIC_7445" hidden="1">"c7445"</definedName>
    <definedName name="IQ_ECO_METRIC_7446" hidden="1">"c7446"</definedName>
    <definedName name="IQ_ECO_METRIC_7447" hidden="1">"c7447"</definedName>
    <definedName name="IQ_ECO_METRIC_7448" hidden="1">"c7448"</definedName>
    <definedName name="IQ_ECO_METRIC_7449" hidden="1">"c7449"</definedName>
    <definedName name="IQ_ECO_METRIC_7450" hidden="1">"c7450"</definedName>
    <definedName name="IQ_ECO_METRIC_7451" hidden="1">"c7451"</definedName>
    <definedName name="IQ_ECO_METRIC_7452" hidden="1">"c7452"</definedName>
    <definedName name="IQ_ECO_METRIC_7453" hidden="1">"c7453"</definedName>
    <definedName name="IQ_ECO_METRIC_7455" hidden="1">"c7455"</definedName>
    <definedName name="IQ_ECO_METRIC_7456" hidden="1">"c7456"</definedName>
    <definedName name="IQ_ECO_METRIC_7457" hidden="1">"c7457"</definedName>
    <definedName name="IQ_ECO_METRIC_7458" hidden="1">"c7458"</definedName>
    <definedName name="IQ_ECO_METRIC_7459" hidden="1">"c7459"</definedName>
    <definedName name="IQ_ECO_METRIC_7460" hidden="1">"c7460"</definedName>
    <definedName name="IQ_ECO_METRIC_7461" hidden="1">"c7461"</definedName>
    <definedName name="IQ_ECO_METRIC_7463" hidden="1">"c7463"</definedName>
    <definedName name="IQ_ECO_METRIC_7464" hidden="1">"c7464"</definedName>
    <definedName name="IQ_ECO_METRIC_7465" hidden="1">"c7465"</definedName>
    <definedName name="IQ_ECO_METRIC_7466" hidden="1">"c7466"</definedName>
    <definedName name="IQ_ECO_METRIC_7467" hidden="1">"c7467"</definedName>
    <definedName name="IQ_ECO_METRIC_7468" hidden="1">"c7468"</definedName>
    <definedName name="IQ_ECO_METRIC_7469" hidden="1">"c7469"</definedName>
    <definedName name="IQ_ECO_METRIC_7470" hidden="1">"c7470"</definedName>
    <definedName name="IQ_ECO_METRIC_7472" hidden="1">"c7472"</definedName>
    <definedName name="IQ_ECO_METRIC_7473" hidden="1">"c7473"</definedName>
    <definedName name="IQ_ECO_METRIC_7474" hidden="1">"c7474"</definedName>
    <definedName name="IQ_ECO_METRIC_7475" hidden="1">"c7475"</definedName>
    <definedName name="IQ_ECO_METRIC_7476" hidden="1">"c7476"</definedName>
    <definedName name="IQ_ECO_METRIC_7477" hidden="1">"c7477"</definedName>
    <definedName name="IQ_ECO_METRIC_7478" hidden="1">"c7478"</definedName>
    <definedName name="IQ_ECO_METRIC_7479" hidden="1">"c7479"</definedName>
    <definedName name="IQ_ECO_METRIC_7480" hidden="1">"c7480"</definedName>
    <definedName name="IQ_ECO_METRIC_7481" hidden="1">"c7481"</definedName>
    <definedName name="IQ_ECO_METRIC_7482" hidden="1">"c7482"</definedName>
    <definedName name="IQ_ECO_METRIC_7483" hidden="1">"c7483"</definedName>
    <definedName name="IQ_ECO_METRIC_7486" hidden="1">"c7486"</definedName>
    <definedName name="IQ_ECO_METRIC_7487" hidden="1">"c7487"</definedName>
    <definedName name="IQ_ECO_METRIC_7488" hidden="1">"c7488"</definedName>
    <definedName name="IQ_ECO_METRIC_7489" hidden="1">"c7489"</definedName>
    <definedName name="IQ_ECO_METRIC_7490" hidden="1">"c7490"</definedName>
    <definedName name="IQ_ECO_METRIC_7491" hidden="1">"c7491"</definedName>
    <definedName name="IQ_ECO_METRIC_7492" hidden="1">"c7492"</definedName>
    <definedName name="IQ_ECO_METRIC_7493" hidden="1">"c7493"</definedName>
    <definedName name="IQ_ECO_METRIC_7494" hidden="1">"c7494"</definedName>
    <definedName name="IQ_ECO_METRIC_7495" hidden="1">"c7495"</definedName>
    <definedName name="IQ_ECO_METRIC_7496" hidden="1">"c7496"</definedName>
    <definedName name="IQ_ECO_METRIC_7497" hidden="1">"c7497"</definedName>
    <definedName name="IQ_ECO_METRIC_7498" hidden="1">"c7498"</definedName>
    <definedName name="IQ_ECO_METRIC_7500" hidden="1">"c7500"</definedName>
    <definedName name="IQ_ECO_METRIC_7501" hidden="1">"c7501"</definedName>
    <definedName name="IQ_ECO_METRIC_7502" hidden="1">"c7502"</definedName>
    <definedName name="IQ_ECO_METRIC_7503" hidden="1">"c7503"</definedName>
    <definedName name="IQ_ECO_METRIC_7504" hidden="1">"c7504"</definedName>
    <definedName name="IQ_ECO_METRIC_7505" hidden="1">"c7505"</definedName>
    <definedName name="IQ_ECO_METRIC_7507" hidden="1">"c7507"</definedName>
    <definedName name="IQ_ECO_METRIC_7508" hidden="1">"c7508"</definedName>
    <definedName name="IQ_ECO_METRIC_7509" hidden="1">"c7509"</definedName>
    <definedName name="IQ_ECO_METRIC_7510" hidden="1">"c7510"</definedName>
    <definedName name="IQ_ECO_METRIC_7511" hidden="1">"c7511"</definedName>
    <definedName name="IQ_ECO_METRIC_7512" hidden="1">"c7512"</definedName>
    <definedName name="IQ_ECO_METRIC_7513" hidden="1">"c7513"</definedName>
    <definedName name="IQ_ECO_METRIC_7514" hidden="1">"c7514"</definedName>
    <definedName name="IQ_ECO_METRIC_7515" hidden="1">"c7515"</definedName>
    <definedName name="IQ_ECO_METRIC_7516" hidden="1">"c7516"</definedName>
    <definedName name="IQ_ECO_METRIC_7517" hidden="1">"c7517"</definedName>
    <definedName name="IQ_ECO_METRIC_7518" hidden="1">"c7518"</definedName>
    <definedName name="IQ_ECO_METRIC_7519" hidden="1">"c7519"</definedName>
    <definedName name="IQ_ECO_METRIC_7520" hidden="1">"c7520"</definedName>
    <definedName name="IQ_ECO_METRIC_7521" hidden="1">"c7521"</definedName>
    <definedName name="IQ_ECO_METRIC_7522" hidden="1">"c7522"</definedName>
    <definedName name="IQ_ECO_METRIC_7523" hidden="1">"c7523"</definedName>
    <definedName name="IQ_ECO_METRIC_7524" hidden="1">"c7524"</definedName>
    <definedName name="IQ_ECO_METRIC_7525" hidden="1">"c7525"</definedName>
    <definedName name="IQ_ECO_METRIC_7526" hidden="1">"c7526"</definedName>
    <definedName name="IQ_ECO_METRIC_7527" hidden="1">"c7527"</definedName>
    <definedName name="IQ_ECO_METRIC_7528" hidden="1">"c7528"</definedName>
    <definedName name="IQ_ECO_METRIC_7529" hidden="1">"c7529"</definedName>
    <definedName name="IQ_ECO_METRIC_7530" hidden="1">"c7530"</definedName>
    <definedName name="IQ_ECO_METRIC_7531" hidden="1">"c7531"</definedName>
    <definedName name="IQ_ECO_METRIC_7532" hidden="1">"c7532"</definedName>
    <definedName name="IQ_ECO_METRIC_7533" hidden="1">"c7533"</definedName>
    <definedName name="IQ_ECO_METRIC_7534" hidden="1">"c7534"</definedName>
    <definedName name="IQ_ECO_METRIC_7535" hidden="1">"c7535"</definedName>
    <definedName name="IQ_ECO_METRIC_7536" hidden="1">"c7536"</definedName>
    <definedName name="IQ_ECO_METRIC_7537" hidden="1">"c7537"</definedName>
    <definedName name="IQ_ECO_METRIC_7538" hidden="1">"c7538"</definedName>
    <definedName name="IQ_ECO_METRIC_7539" hidden="1">"c7539"</definedName>
    <definedName name="IQ_ECO_METRIC_7540" hidden="1">"c7540"</definedName>
    <definedName name="IQ_ECO_METRIC_7541" hidden="1">"c7541"</definedName>
    <definedName name="IQ_ECO_METRIC_7542" hidden="1">"c7542"</definedName>
    <definedName name="IQ_ECO_METRIC_7543" hidden="1">"c7543"</definedName>
    <definedName name="IQ_ECO_METRIC_7544" hidden="1">"c7544"</definedName>
    <definedName name="IQ_ECO_METRIC_7545" hidden="1">"c7545"</definedName>
    <definedName name="IQ_ECO_METRIC_7546" hidden="1">"c7546"</definedName>
    <definedName name="IQ_ECO_METRIC_7547" hidden="1">"c7547"</definedName>
    <definedName name="IQ_ECO_METRIC_7548" hidden="1">"c7548"</definedName>
    <definedName name="IQ_ECO_METRIC_7549" hidden="1">"c7549"</definedName>
    <definedName name="IQ_ECO_METRIC_7550" hidden="1">"c7550"</definedName>
    <definedName name="IQ_ECO_METRIC_7551" hidden="1">"c7551"</definedName>
    <definedName name="IQ_ECO_METRIC_7552" hidden="1">"c7552"</definedName>
    <definedName name="IQ_ECO_METRIC_7553" hidden="1">"c7553"</definedName>
    <definedName name="IQ_ECO_METRIC_7554" hidden="1">"c7554"</definedName>
    <definedName name="IQ_ECO_METRIC_7555" hidden="1">"c7555"</definedName>
    <definedName name="IQ_ECO_METRIC_7556" hidden="1">"c7556"</definedName>
    <definedName name="IQ_ECO_METRIC_7557" hidden="1">"c7557"</definedName>
    <definedName name="IQ_ECO_METRIC_7560" hidden="1">"c7560"</definedName>
    <definedName name="IQ_ECO_METRIC_7561" hidden="1">"c7561"</definedName>
    <definedName name="IQ_ECO_METRIC_7562" hidden="1">"c7562"</definedName>
    <definedName name="IQ_ECO_METRIC_7563" hidden="1">"c7563"</definedName>
    <definedName name="IQ_ECO_METRIC_7564" hidden="1">"c7564"</definedName>
    <definedName name="IQ_ECO_METRIC_7565" hidden="1">"c7565"</definedName>
    <definedName name="IQ_ECO_METRIC_7566" hidden="1">"c7566"</definedName>
    <definedName name="IQ_ECO_METRIC_7567" hidden="1">"c7567"</definedName>
    <definedName name="IQ_ECO_METRIC_7568" hidden="1">"c7568"</definedName>
    <definedName name="IQ_ECO_METRIC_7570" hidden="1">"c7570"</definedName>
    <definedName name="IQ_ECO_METRIC_7571" hidden="1">"c7571"</definedName>
    <definedName name="IQ_ECO_METRIC_7572" hidden="1">"c7572"</definedName>
    <definedName name="IQ_ECO_METRIC_7573" hidden="1">"c7573"</definedName>
    <definedName name="IQ_ECO_METRIC_7574" hidden="1">"c7574"</definedName>
    <definedName name="IQ_ECO_METRIC_7575" hidden="1">"c7575"</definedName>
    <definedName name="IQ_ECO_METRIC_7576" hidden="1">"c7576"</definedName>
    <definedName name="IQ_ECO_METRIC_7577" hidden="1">"c7577"</definedName>
    <definedName name="IQ_ECO_METRIC_7578" hidden="1">"c7578"</definedName>
    <definedName name="IQ_ECO_METRIC_7579" hidden="1">"c7579"</definedName>
    <definedName name="IQ_ECO_METRIC_7580" hidden="1">"c7580"</definedName>
    <definedName name="IQ_ECO_METRIC_7581" hidden="1">"c7581"</definedName>
    <definedName name="IQ_ECO_METRIC_7582" hidden="1">"c7582"</definedName>
    <definedName name="IQ_ECO_METRIC_7583" hidden="1">"c7583"</definedName>
    <definedName name="IQ_ECO_METRIC_7584" hidden="1">"c7584"</definedName>
    <definedName name="IQ_ECO_METRIC_7585" hidden="1">"c7585"</definedName>
    <definedName name="IQ_ECO_METRIC_7586" hidden="1">"c7586"</definedName>
    <definedName name="IQ_ECO_METRIC_7588" hidden="1">"c7588"</definedName>
    <definedName name="IQ_ECO_METRIC_7589" hidden="1">"c7589"</definedName>
    <definedName name="IQ_ECO_METRIC_7590" hidden="1">"c7590"</definedName>
    <definedName name="IQ_ECO_METRIC_7591" hidden="1">"c7591"</definedName>
    <definedName name="IQ_ECO_METRIC_7592" hidden="1">"c7592"</definedName>
    <definedName name="IQ_ECO_METRIC_7593" hidden="1">"c7593"</definedName>
    <definedName name="IQ_ECO_METRIC_7594" hidden="1">"c7594"</definedName>
    <definedName name="IQ_ECO_METRIC_7596" hidden="1">"c7596"</definedName>
    <definedName name="IQ_ECO_METRIC_7597" hidden="1">"c7597"</definedName>
    <definedName name="IQ_ECO_METRIC_7598" hidden="1">"c7598"</definedName>
    <definedName name="IQ_ECO_METRIC_7599" hidden="1">"c7599"</definedName>
    <definedName name="IQ_ECO_METRIC_7600" hidden="1">"c7600"</definedName>
    <definedName name="IQ_ECO_METRIC_7601" hidden="1">"c7601"</definedName>
    <definedName name="IQ_ECO_METRIC_7602" hidden="1">"c7602"</definedName>
    <definedName name="IQ_ECO_METRIC_7603" hidden="1">"c7603"</definedName>
    <definedName name="IQ_ECO_METRIC_7604" hidden="1">"c7604"</definedName>
    <definedName name="IQ_ECO_METRIC_7605" hidden="1">"c7605"</definedName>
    <definedName name="IQ_ECO_METRIC_7606" hidden="1">"c7606"</definedName>
    <definedName name="IQ_ECO_METRIC_7607" hidden="1">"c7607"</definedName>
    <definedName name="IQ_ECO_METRIC_7608" hidden="1">"c7608"</definedName>
    <definedName name="IQ_ECO_METRIC_7609" hidden="1">"c7609"</definedName>
    <definedName name="IQ_ECO_METRIC_7610" hidden="1">"c7610"</definedName>
    <definedName name="IQ_ECO_METRIC_7611" hidden="1">"c7611"</definedName>
    <definedName name="IQ_ECO_METRIC_7612" hidden="1">"c7612"</definedName>
    <definedName name="IQ_ECO_METRIC_7613" hidden="1">"c7613"</definedName>
    <definedName name="IQ_ECO_METRIC_7614" hidden="1">"c7614"</definedName>
    <definedName name="IQ_ECO_METRIC_7615" hidden="1">"c7615"</definedName>
    <definedName name="IQ_ECO_METRIC_7616" hidden="1">"c7616"</definedName>
    <definedName name="IQ_ECO_METRIC_7617" hidden="1">"c7617"</definedName>
    <definedName name="IQ_ECO_METRIC_7618" hidden="1">"c7618"</definedName>
    <definedName name="IQ_ECO_METRIC_7619" hidden="1">"c7619"</definedName>
    <definedName name="IQ_ECO_METRIC_7620" hidden="1">"c7620"</definedName>
    <definedName name="IQ_ECO_METRIC_7622" hidden="1">"c7622"</definedName>
    <definedName name="IQ_ECO_METRIC_7623" hidden="1">"c7623"</definedName>
    <definedName name="IQ_ECO_METRIC_7624" hidden="1">"c7624"</definedName>
    <definedName name="IQ_ECO_METRIC_7625" hidden="1">"c7625"</definedName>
    <definedName name="IQ_ECO_METRIC_7626" hidden="1">"c7626"</definedName>
    <definedName name="IQ_ECO_METRIC_7627" hidden="1">"c7627"</definedName>
    <definedName name="IQ_ECO_METRIC_7628" hidden="1">"c7628"</definedName>
    <definedName name="IQ_ECO_METRIC_7629" hidden="1">"c7629"</definedName>
    <definedName name="IQ_ECO_METRIC_7630" hidden="1">"c7630"</definedName>
    <definedName name="IQ_ECO_METRIC_7631" hidden="1">"c7631"</definedName>
    <definedName name="IQ_ECO_METRIC_7632" hidden="1">"c7632"</definedName>
    <definedName name="IQ_ECO_METRIC_7633" hidden="1">"c7633"</definedName>
    <definedName name="IQ_ECO_METRIC_7634" hidden="1">"c7634"</definedName>
    <definedName name="IQ_ECO_METRIC_7635" hidden="1">"c7635"</definedName>
    <definedName name="IQ_ECO_METRIC_7636" hidden="1">"c7636"</definedName>
    <definedName name="IQ_ECO_METRIC_7637" hidden="1">"c7637"</definedName>
    <definedName name="IQ_ECO_METRIC_7638" hidden="1">"c7638"</definedName>
    <definedName name="IQ_ECO_METRIC_7639" hidden="1">"c7639"</definedName>
    <definedName name="IQ_ECO_METRIC_7640" hidden="1">"c7640"</definedName>
    <definedName name="IQ_ECO_METRIC_7641" hidden="1">"c7641"</definedName>
    <definedName name="IQ_ECO_METRIC_7642" hidden="1">"c7642"</definedName>
    <definedName name="IQ_ECO_METRIC_7643" hidden="1">"c7643"</definedName>
    <definedName name="IQ_ECO_METRIC_7644" hidden="1">"c7644"</definedName>
    <definedName name="IQ_ECO_METRIC_7645" hidden="1">"c7645"</definedName>
    <definedName name="IQ_ECO_METRIC_7646" hidden="1">"c7646"</definedName>
    <definedName name="IQ_ECO_METRIC_7647" hidden="1">"c7647"</definedName>
    <definedName name="IQ_ECO_METRIC_7648" hidden="1">"c7648"</definedName>
    <definedName name="IQ_ECO_METRIC_7649" hidden="1">"c7649"</definedName>
    <definedName name="IQ_ECO_METRIC_7650" hidden="1">"c7650"</definedName>
    <definedName name="IQ_ECO_METRIC_7651" hidden="1">"c7651"</definedName>
    <definedName name="IQ_ECO_METRIC_7652" hidden="1">"c7652"</definedName>
    <definedName name="IQ_ECO_METRIC_7653" hidden="1">"c7653"</definedName>
    <definedName name="IQ_ECO_METRIC_7654" hidden="1">"c7654"</definedName>
    <definedName name="IQ_ECO_METRIC_7655" hidden="1">"c7655"</definedName>
    <definedName name="IQ_ECO_METRIC_7656" hidden="1">"c7656"</definedName>
    <definedName name="IQ_ECO_METRIC_7657" hidden="1">"c7657"</definedName>
    <definedName name="IQ_ECO_METRIC_7658" hidden="1">"c7658"</definedName>
    <definedName name="IQ_ECO_METRIC_7660" hidden="1">"c7660"</definedName>
    <definedName name="IQ_ECO_METRIC_7661" hidden="1">"c7661"</definedName>
    <definedName name="IQ_ECO_METRIC_7663" hidden="1">"c7663"</definedName>
    <definedName name="IQ_ECO_METRIC_7664" hidden="1">"c7664"</definedName>
    <definedName name="IQ_ECO_METRIC_7665" hidden="1">"c7665"</definedName>
    <definedName name="IQ_ECO_METRIC_7666" hidden="1">"c7666"</definedName>
    <definedName name="IQ_ECO_METRIC_7667" hidden="1">"c7667"</definedName>
    <definedName name="IQ_ECO_METRIC_7668" hidden="1">"c7668"</definedName>
    <definedName name="IQ_ECO_METRIC_7669" hidden="1">"c7669"</definedName>
    <definedName name="IQ_ECO_METRIC_7670" hidden="1">"c7670"</definedName>
    <definedName name="IQ_ECO_METRIC_7675" hidden="1">"c7675"</definedName>
    <definedName name="IQ_ECO_METRIC_7676" hidden="1">"c7676"</definedName>
    <definedName name="IQ_ECO_METRIC_7677" hidden="1">"c7677"</definedName>
    <definedName name="IQ_ECO_METRIC_7678" hidden="1">"c7678"</definedName>
    <definedName name="IQ_ECO_METRIC_7679" hidden="1">"c7679"</definedName>
    <definedName name="IQ_ECO_METRIC_7680" hidden="1">"c7680"</definedName>
    <definedName name="IQ_ECO_METRIC_7681" hidden="1">"c7681"</definedName>
    <definedName name="IQ_ECO_METRIC_7685" hidden="1">"c7685"</definedName>
    <definedName name="IQ_ECO_METRIC_7687" hidden="1">"c7687"</definedName>
    <definedName name="IQ_ECO_METRIC_7688" hidden="1">"c7688"</definedName>
    <definedName name="IQ_ECO_METRIC_7689" hidden="1">"c7689"</definedName>
    <definedName name="IQ_ECO_METRIC_7690" hidden="1">"c7690"</definedName>
    <definedName name="IQ_ECO_METRIC_7691" hidden="1">"c7691"</definedName>
    <definedName name="IQ_ECO_METRIC_7692" hidden="1">"c7692"</definedName>
    <definedName name="IQ_ECO_METRIC_7693" hidden="1">"c7693"</definedName>
    <definedName name="IQ_ECO_METRIC_7694" hidden="1">"c7694"</definedName>
    <definedName name="IQ_ECO_METRIC_7695" hidden="1">"c7695"</definedName>
    <definedName name="IQ_ECO_METRIC_7696" hidden="1">"c7696"</definedName>
    <definedName name="IQ_ECO_METRIC_7697" hidden="1">"c7697"</definedName>
    <definedName name="IQ_ECO_METRIC_7698" hidden="1">"c7698"</definedName>
    <definedName name="IQ_ECO_METRIC_7699" hidden="1">"c7699"</definedName>
    <definedName name="IQ_ECO_METRIC_7700" hidden="1">"c7700"</definedName>
    <definedName name="IQ_ECO_METRIC_7701" hidden="1">"c7701"</definedName>
    <definedName name="IQ_ECO_METRIC_7702" hidden="1">"c7702"</definedName>
    <definedName name="IQ_ECO_METRIC_7703" hidden="1">"c7703"</definedName>
    <definedName name="IQ_ECO_METRIC_7705" hidden="1">"c7705"</definedName>
    <definedName name="IQ_ECO_METRIC_7707" hidden="1">"c7707"</definedName>
    <definedName name="IQ_ECO_METRIC_7708" hidden="1">"c7708"</definedName>
    <definedName name="IQ_ECO_METRIC_7709" hidden="1">"c7709"</definedName>
    <definedName name="IQ_ECO_METRIC_7710" hidden="1">"c7710"</definedName>
    <definedName name="IQ_ECO_METRIC_7711" hidden="1">"c7711"</definedName>
    <definedName name="IQ_ECO_METRIC_7712" hidden="1">"c7712"</definedName>
    <definedName name="IQ_ECO_METRIC_7713" hidden="1">"c7713"</definedName>
    <definedName name="IQ_ECO_METRIC_7714" hidden="1">"c7714"</definedName>
    <definedName name="IQ_ECO_METRIC_7715" hidden="1">"c7715"</definedName>
    <definedName name="IQ_ECO_METRIC_7716" hidden="1">"c7716"</definedName>
    <definedName name="IQ_ECO_METRIC_7717" hidden="1">"c7717"</definedName>
    <definedName name="IQ_ECO_METRIC_7719" hidden="1">"c7719"</definedName>
    <definedName name="IQ_ECO_METRIC_7720" hidden="1">"c7720"</definedName>
    <definedName name="IQ_ECO_METRIC_7721" hidden="1">"c7721"</definedName>
    <definedName name="IQ_ECO_METRIC_7722" hidden="1">"c7722"</definedName>
    <definedName name="IQ_ECO_METRIC_7723" hidden="1">"c7723"</definedName>
    <definedName name="IQ_ECO_METRIC_7724" hidden="1">"c7724"</definedName>
    <definedName name="IQ_ECO_METRIC_7725" hidden="1">"c7725"</definedName>
    <definedName name="IQ_ECO_METRIC_7726" hidden="1">"c7726"</definedName>
    <definedName name="IQ_ECO_METRIC_7727" hidden="1">"c7727"</definedName>
    <definedName name="IQ_ECO_METRIC_7728" hidden="1">"c7728"</definedName>
    <definedName name="IQ_ECO_METRIC_7729" hidden="1">"c7729"</definedName>
    <definedName name="IQ_ECO_METRIC_7730" hidden="1">"c7730"</definedName>
    <definedName name="IQ_ECO_METRIC_7731" hidden="1">"c7731"</definedName>
    <definedName name="IQ_ECO_METRIC_7732" hidden="1">"c7732"</definedName>
    <definedName name="IQ_ECO_METRIC_7733" hidden="1">"c7733"</definedName>
    <definedName name="IQ_ECO_METRIC_7734" hidden="1">"c7734"</definedName>
    <definedName name="IQ_ECO_METRIC_7735" hidden="1">"c7735"</definedName>
    <definedName name="IQ_ECO_METRIC_7736" hidden="1">"c7736"</definedName>
    <definedName name="IQ_ECO_METRIC_7737" hidden="1">"c7737"</definedName>
    <definedName name="IQ_ECO_METRIC_7738" hidden="1">"c7738"</definedName>
    <definedName name="IQ_ECO_METRIC_7739" hidden="1">"c7739"</definedName>
    <definedName name="IQ_ECO_METRIC_7740" hidden="1">"c7740"</definedName>
    <definedName name="IQ_ECO_METRIC_7741" hidden="1">"c7741"</definedName>
    <definedName name="IQ_ECO_METRIC_7742" hidden="1">"c7742"</definedName>
    <definedName name="IQ_ECO_METRIC_7743" hidden="1">"c7743"</definedName>
    <definedName name="IQ_ECO_METRIC_7744" hidden="1">"c7744"</definedName>
    <definedName name="IQ_ECO_METRIC_7745" hidden="1">"c7745"</definedName>
    <definedName name="IQ_ECO_METRIC_7746" hidden="1">"c7746"</definedName>
    <definedName name="IQ_ECO_METRIC_7747" hidden="1">"c7747"</definedName>
    <definedName name="IQ_ECO_METRIC_7748" hidden="1">"c7748"</definedName>
    <definedName name="IQ_ECO_METRIC_7749" hidden="1">"c7749"</definedName>
    <definedName name="IQ_ECO_METRIC_7750" hidden="1">"c7750"</definedName>
    <definedName name="IQ_ECO_METRIC_7751" hidden="1">"c7751"</definedName>
    <definedName name="IQ_ECO_METRIC_7752" hidden="1">"c7752"</definedName>
    <definedName name="IQ_ECO_METRIC_7753" hidden="1">"c7753"</definedName>
    <definedName name="IQ_ECO_METRIC_7754" hidden="1">"c7754"</definedName>
    <definedName name="IQ_ECO_METRIC_7755" hidden="1">"c7755"</definedName>
    <definedName name="IQ_ECO_METRIC_7756" hidden="1">"c7756"</definedName>
    <definedName name="IQ_ECO_METRIC_7757" hidden="1">"c7757"</definedName>
    <definedName name="IQ_ECO_METRIC_7758" hidden="1">"c7758"</definedName>
    <definedName name="IQ_ECO_METRIC_7759" hidden="1">"c7759"</definedName>
    <definedName name="IQ_ECO_METRIC_7760" hidden="1">"c7760"</definedName>
    <definedName name="IQ_ECO_METRIC_7761" hidden="1">"c7761"</definedName>
    <definedName name="IQ_ECO_METRIC_7762" hidden="1">"c7762"</definedName>
    <definedName name="IQ_ECO_METRIC_7763" hidden="1">"c7763"</definedName>
    <definedName name="IQ_ECO_METRIC_7764" hidden="1">"c7764"</definedName>
    <definedName name="IQ_ECO_METRIC_7765" hidden="1">"c7765"</definedName>
    <definedName name="IQ_ECO_METRIC_7766" hidden="1">"c7766"</definedName>
    <definedName name="IQ_ECO_METRIC_7767" hidden="1">"c7767"</definedName>
    <definedName name="IQ_ECO_METRIC_7768" hidden="1">"c7768"</definedName>
    <definedName name="IQ_ECO_METRIC_7769" hidden="1">"c7769"</definedName>
    <definedName name="IQ_ECO_METRIC_7770" hidden="1">"c7770"</definedName>
    <definedName name="IQ_ECO_METRIC_7771" hidden="1">"c7771"</definedName>
    <definedName name="IQ_ECO_METRIC_7772" hidden="1">"c7772"</definedName>
    <definedName name="IQ_ECO_METRIC_7773" hidden="1">"c7773"</definedName>
    <definedName name="IQ_ECO_METRIC_7774" hidden="1">"c7774"</definedName>
    <definedName name="IQ_ECO_METRIC_7775" hidden="1">"c7775"</definedName>
    <definedName name="IQ_ECO_METRIC_7776" hidden="1">"c7776"</definedName>
    <definedName name="IQ_ECO_METRIC_7777" hidden="1">"c7777"</definedName>
    <definedName name="IQ_ECO_METRIC_7779" hidden="1">"c7779"</definedName>
    <definedName name="IQ_ECO_METRIC_7780" hidden="1">"c7780"</definedName>
    <definedName name="IQ_ECO_METRIC_7781" hidden="1">"c7781"</definedName>
    <definedName name="IQ_ECO_METRIC_7782" hidden="1">"c7782"</definedName>
    <definedName name="IQ_ECO_METRIC_7783" hidden="1">"c7783"</definedName>
    <definedName name="IQ_ECO_METRIC_7784" hidden="1">"c7784"</definedName>
    <definedName name="IQ_ECO_METRIC_7785" hidden="1">"c7785"</definedName>
    <definedName name="IQ_ECO_METRIC_7786" hidden="1">"c7786"</definedName>
    <definedName name="IQ_ECO_METRIC_7787" hidden="1">"c7787"</definedName>
    <definedName name="IQ_ECO_METRIC_7788" hidden="1">"c7788"</definedName>
    <definedName name="IQ_ECO_METRIC_7789" hidden="1">"c7789"</definedName>
    <definedName name="IQ_ECO_METRIC_7790" hidden="1">"c7790"</definedName>
    <definedName name="IQ_ECO_METRIC_7791" hidden="1">"c7791"</definedName>
    <definedName name="IQ_ECO_METRIC_7792" hidden="1">"c7792"</definedName>
    <definedName name="IQ_ECO_METRIC_7793" hidden="1">"c7793"</definedName>
    <definedName name="IQ_ECO_METRIC_7794" hidden="1">"c7794"</definedName>
    <definedName name="IQ_ECO_METRIC_7795" hidden="1">"c7795"</definedName>
    <definedName name="IQ_ECO_METRIC_7796" hidden="1">"c7796"</definedName>
    <definedName name="IQ_ECO_METRIC_7797" hidden="1">"c7797"</definedName>
    <definedName name="IQ_ECO_METRIC_7798" hidden="1">"c7798"</definedName>
    <definedName name="IQ_ECO_METRIC_7799" hidden="1">"c7799"</definedName>
    <definedName name="IQ_ECO_METRIC_7800" hidden="1">"c7800"</definedName>
    <definedName name="IQ_ECO_METRIC_7801" hidden="1">"c7801"</definedName>
    <definedName name="IQ_ECO_METRIC_7802" hidden="1">"c7802"</definedName>
    <definedName name="IQ_ECO_METRIC_7803" hidden="1">"c7803"</definedName>
    <definedName name="IQ_ECO_METRIC_7804" hidden="1">"c7804"</definedName>
    <definedName name="IQ_ECO_METRIC_7805" hidden="1">"c7805"</definedName>
    <definedName name="IQ_ECO_METRIC_7806" hidden="1">"c7806"</definedName>
    <definedName name="IQ_ECO_METRIC_7808" hidden="1">"c7808"</definedName>
    <definedName name="IQ_ECO_METRIC_7809" hidden="1">"c7809"</definedName>
    <definedName name="IQ_ECO_METRIC_7810" hidden="1">"c7810"</definedName>
    <definedName name="IQ_ECO_METRIC_7812" hidden="1">"c7812"</definedName>
    <definedName name="IQ_ECO_METRIC_7813" hidden="1">"c7813"</definedName>
    <definedName name="IQ_ECO_METRIC_7814" hidden="1">"c7814"</definedName>
    <definedName name="IQ_ECO_METRIC_7815" hidden="1">"c7815"</definedName>
    <definedName name="IQ_ECO_METRIC_7816" hidden="1">"c7816"</definedName>
    <definedName name="IQ_ECO_METRIC_7817" hidden="1">"c7817"</definedName>
    <definedName name="IQ_ECO_METRIC_7818" hidden="1">"c7818"</definedName>
    <definedName name="IQ_ECO_METRIC_7819" hidden="1">"c7819"</definedName>
    <definedName name="IQ_ECO_METRIC_7820" hidden="1">"c7820"</definedName>
    <definedName name="IQ_ECO_METRIC_7821" hidden="1">"c7821"</definedName>
    <definedName name="IQ_ECO_METRIC_7822" hidden="1">"c7822"</definedName>
    <definedName name="IQ_ECO_METRIC_7823" hidden="1">"c7823"</definedName>
    <definedName name="IQ_ECO_METRIC_7824" hidden="1">"c7824"</definedName>
    <definedName name="IQ_ECO_METRIC_7825" hidden="1">"c7825"</definedName>
    <definedName name="IQ_ECO_METRIC_7826" hidden="1">"c7826"</definedName>
    <definedName name="IQ_ECO_METRIC_7827" hidden="1">"c7827"</definedName>
    <definedName name="IQ_ECO_METRIC_7828" hidden="1">"c7828"</definedName>
    <definedName name="IQ_ECO_METRIC_7829" hidden="1">"c7829"</definedName>
    <definedName name="IQ_ECO_METRIC_7830" hidden="1">"c7830"</definedName>
    <definedName name="IQ_ECO_METRIC_7831" hidden="1">"c7831"</definedName>
    <definedName name="IQ_ECO_METRIC_7832" hidden="1">"c7832"</definedName>
    <definedName name="IQ_ECO_METRIC_7833" hidden="1">"c7833"</definedName>
    <definedName name="IQ_ECO_METRIC_7834" hidden="1">"c7834"</definedName>
    <definedName name="IQ_ECO_METRIC_7835" hidden="1">"c7835"</definedName>
    <definedName name="IQ_ECO_METRIC_7836" hidden="1">"c7836"</definedName>
    <definedName name="IQ_ECO_METRIC_7837" hidden="1">"c7837"</definedName>
    <definedName name="IQ_ECO_METRIC_7838" hidden="1">"c7838"</definedName>
    <definedName name="IQ_ECO_METRIC_7839" hidden="1">"c7839"</definedName>
    <definedName name="IQ_ECO_METRIC_7840" hidden="1">"c7840"</definedName>
    <definedName name="IQ_ECO_METRIC_7842" hidden="1">"c7842"</definedName>
    <definedName name="IQ_ECO_METRIC_7843" hidden="1">"c7843"</definedName>
    <definedName name="IQ_ECO_METRIC_7844" hidden="1">"c7844"</definedName>
    <definedName name="IQ_ECO_METRIC_7845" hidden="1">"c7845"</definedName>
    <definedName name="IQ_ECO_METRIC_7846" hidden="1">"c7846"</definedName>
    <definedName name="IQ_ECO_METRIC_7847" hidden="1">"c7847"</definedName>
    <definedName name="IQ_ECO_METRIC_7848" hidden="1">"c7848"</definedName>
    <definedName name="IQ_ECO_METRIC_7849" hidden="1">"c7849"</definedName>
    <definedName name="IQ_ECO_METRIC_7850" hidden="1">"c7850"</definedName>
    <definedName name="IQ_ECO_METRIC_7851" hidden="1">"c7851"</definedName>
    <definedName name="IQ_ECO_METRIC_7852" hidden="1">"c7852"</definedName>
    <definedName name="IQ_ECO_METRIC_7853" hidden="1">"c7853"</definedName>
    <definedName name="IQ_ECO_METRIC_7854" hidden="1">"c7854"</definedName>
    <definedName name="IQ_ECO_METRIC_7855" hidden="1">"c7855"</definedName>
    <definedName name="IQ_ECO_METRIC_7856" hidden="1">"c7856"</definedName>
    <definedName name="IQ_ECO_METRIC_7857" hidden="1">"c7857"</definedName>
    <definedName name="IQ_ECO_METRIC_7858" hidden="1">"c7858"</definedName>
    <definedName name="IQ_ECO_METRIC_7859" hidden="1">"c7859"</definedName>
    <definedName name="IQ_ECO_METRIC_7860" hidden="1">"c7860"</definedName>
    <definedName name="IQ_ECO_METRIC_7861" hidden="1">"c7861"</definedName>
    <definedName name="IQ_ECO_METRIC_7862" hidden="1">"c7862"</definedName>
    <definedName name="IQ_ECO_METRIC_7863" hidden="1">"c7863"</definedName>
    <definedName name="IQ_ECO_METRIC_7864" hidden="1">"c7864"</definedName>
    <definedName name="IQ_ECO_METRIC_7865" hidden="1">"c7865"</definedName>
    <definedName name="IQ_ECO_METRIC_7866" hidden="1">"c7866"</definedName>
    <definedName name="IQ_ECO_METRIC_7867" hidden="1">"c7867"</definedName>
    <definedName name="IQ_ECO_METRIC_7868" hidden="1">"c7868"</definedName>
    <definedName name="IQ_ECO_METRIC_7869" hidden="1">"c7869"</definedName>
    <definedName name="IQ_ECO_METRIC_7870" hidden="1">"c7870"</definedName>
    <definedName name="IQ_ECO_METRIC_7871" hidden="1">"c7871"</definedName>
    <definedName name="IQ_ECO_METRIC_7872" hidden="1">"c7872"</definedName>
    <definedName name="IQ_ECO_METRIC_7874" hidden="1">"c7874"</definedName>
    <definedName name="IQ_ECO_METRIC_7875" hidden="1">"c7875"</definedName>
    <definedName name="IQ_ECO_METRIC_7876" hidden="1">"c7876"</definedName>
    <definedName name="IQ_ECO_METRIC_7877" hidden="1">"c7877"</definedName>
    <definedName name="IQ_ECO_METRIC_7878" hidden="1">"c7878"</definedName>
    <definedName name="IQ_ECO_METRIC_7880" hidden="1">"c7880"</definedName>
    <definedName name="IQ_ECO_METRIC_7881" hidden="1">"c7881"</definedName>
    <definedName name="IQ_ECO_METRIC_7882" hidden="1">"c7882"</definedName>
    <definedName name="IQ_ECO_METRIC_7883" hidden="1">"c7883"</definedName>
    <definedName name="IQ_ECO_METRIC_7884" hidden="1">"c7884"</definedName>
    <definedName name="IQ_ECO_METRIC_7885" hidden="1">"c7885"</definedName>
    <definedName name="IQ_ECO_METRIC_7886" hidden="1">"c7886"</definedName>
    <definedName name="IQ_ECO_METRIC_7887" hidden="1">"c7887"</definedName>
    <definedName name="IQ_ECO_METRIC_7888" hidden="1">"c7888"</definedName>
    <definedName name="IQ_ECO_METRIC_7889" hidden="1">"c7889"</definedName>
    <definedName name="IQ_ECO_METRIC_7890" hidden="1">"c7890"</definedName>
    <definedName name="IQ_ECO_METRIC_7891" hidden="1">"c7891"</definedName>
    <definedName name="IQ_ECO_METRIC_7892" hidden="1">"c7892"</definedName>
    <definedName name="IQ_ECO_METRIC_7893" hidden="1">"c7893"</definedName>
    <definedName name="IQ_ECO_METRIC_7895" hidden="1">"c7895"</definedName>
    <definedName name="IQ_ECO_METRIC_7896" hidden="1">"c7896"</definedName>
    <definedName name="IQ_ECO_METRIC_7897" hidden="1">"c7897"</definedName>
    <definedName name="IQ_ECO_METRIC_7898" hidden="1">"c7898"</definedName>
    <definedName name="IQ_ECO_METRIC_7899" hidden="1">"c7899"</definedName>
    <definedName name="IQ_ECO_METRIC_7900" hidden="1">"c7900"</definedName>
    <definedName name="IQ_ECO_METRIC_7901" hidden="1">"c7901"</definedName>
    <definedName name="IQ_ECO_METRIC_7903" hidden="1">"c7903"</definedName>
    <definedName name="IQ_ECO_METRIC_7904" hidden="1">"c7904"</definedName>
    <definedName name="IQ_ECO_METRIC_7905" hidden="1">"c7905"</definedName>
    <definedName name="IQ_ECO_METRIC_7906" hidden="1">"c7906"</definedName>
    <definedName name="IQ_ECO_METRIC_7907" hidden="1">"c7907"</definedName>
    <definedName name="IQ_ECO_METRIC_7908" hidden="1">"c7908"</definedName>
    <definedName name="IQ_ECO_METRIC_7909" hidden="1">"c7909"</definedName>
    <definedName name="IQ_ECO_METRIC_7910" hidden="1">"c7910"</definedName>
    <definedName name="IQ_ECO_METRIC_7911" hidden="1">"c7911"</definedName>
    <definedName name="IQ_ECO_METRIC_7912" hidden="1">"c7912"</definedName>
    <definedName name="IQ_ECO_METRIC_7913" hidden="1">"c7913"</definedName>
    <definedName name="IQ_ECO_METRIC_7914" hidden="1">"c7914"</definedName>
    <definedName name="IQ_ECO_METRIC_7915" hidden="1">"c7915"</definedName>
    <definedName name="IQ_ECO_METRIC_7916" hidden="1">"c7916"</definedName>
    <definedName name="IQ_ECO_METRIC_7917" hidden="1">"c7917"</definedName>
    <definedName name="IQ_ECO_METRIC_7918" hidden="1">"c7918"</definedName>
    <definedName name="IQ_ECO_METRIC_7919" hidden="1">"c7919"</definedName>
    <definedName name="IQ_ECO_METRIC_7920" hidden="1">"c7920"</definedName>
    <definedName name="IQ_ECO_METRIC_7921" hidden="1">"c7921"</definedName>
    <definedName name="IQ_ECO_METRIC_7922" hidden="1">"c7922"</definedName>
    <definedName name="IQ_ECO_METRIC_7923" hidden="1">"c7923"</definedName>
    <definedName name="IQ_ECO_METRIC_7925" hidden="1">"c7925"</definedName>
    <definedName name="IQ_ECO_METRIC_7927" hidden="1">"c7927"</definedName>
    <definedName name="IQ_ECO_METRIC_7928" hidden="1">"c7928"</definedName>
    <definedName name="IQ_ECO_METRIC_7929" hidden="1">"c7929"</definedName>
    <definedName name="IQ_ECO_METRIC_7930" hidden="1">"c7930"</definedName>
    <definedName name="IQ_ECO_METRIC_7931" hidden="1">"c7931"</definedName>
    <definedName name="IQ_ECO_METRIC_7932" hidden="1">"c7932"</definedName>
    <definedName name="IQ_ECO_METRIC_7933" hidden="1">"c7933"</definedName>
    <definedName name="IQ_ECO_METRIC_7934" hidden="1">"c7934"</definedName>
    <definedName name="IQ_ECO_METRIC_7935" hidden="1">"c7935"</definedName>
    <definedName name="IQ_ECO_METRIC_7936" hidden="1">"c7936"</definedName>
    <definedName name="IQ_ECO_METRIC_7937" hidden="1">"c7937"</definedName>
    <definedName name="IQ_ECO_METRIC_7939" hidden="1">"c7939"</definedName>
    <definedName name="IQ_ECO_METRIC_7940" hidden="1">"c7940"</definedName>
    <definedName name="IQ_ECO_METRIC_7941" hidden="1">"c7941"</definedName>
    <definedName name="IQ_ECO_METRIC_7942" hidden="1">"c7942"</definedName>
    <definedName name="IQ_ECO_METRIC_7943" hidden="1">"c7943"</definedName>
    <definedName name="IQ_ECO_METRIC_7944" hidden="1">"c7944"</definedName>
    <definedName name="IQ_ECO_METRIC_7945" hidden="1">"c7945"</definedName>
    <definedName name="IQ_ECO_METRIC_7946" hidden="1">"c7946"</definedName>
    <definedName name="IQ_ECO_METRIC_7947" hidden="1">"c7947"</definedName>
    <definedName name="IQ_ECO_METRIC_7948" hidden="1">"c7948"</definedName>
    <definedName name="IQ_ECO_METRIC_7949" hidden="1">"c7949"</definedName>
    <definedName name="IQ_ECO_METRIC_7950" hidden="1">"c7950"</definedName>
    <definedName name="IQ_ECO_METRIC_7951" hidden="1">"c7951"</definedName>
    <definedName name="IQ_ECO_METRIC_7952" hidden="1">"c7952"</definedName>
    <definedName name="IQ_ECO_METRIC_7953" hidden="1">"c7953"</definedName>
    <definedName name="IQ_ECO_METRIC_7954" hidden="1">"c7954"</definedName>
    <definedName name="IQ_ECO_METRIC_7955" hidden="1">"c7955"</definedName>
    <definedName name="IQ_ECO_METRIC_7956" hidden="1">"c7956"</definedName>
    <definedName name="IQ_ECO_METRIC_7957" hidden="1">"c7957"</definedName>
    <definedName name="IQ_ECO_METRIC_7958" hidden="1">"c7958"</definedName>
    <definedName name="IQ_ECO_METRIC_7959" hidden="1">"c7959"</definedName>
    <definedName name="IQ_ECO_METRIC_7960" hidden="1">"c7960"</definedName>
    <definedName name="IQ_ECO_METRIC_7961" hidden="1">"c7961"</definedName>
    <definedName name="IQ_ECO_METRIC_7962" hidden="1">"c7962"</definedName>
    <definedName name="IQ_ECO_METRIC_7963" hidden="1">"c7963"</definedName>
    <definedName name="IQ_ECO_METRIC_7964" hidden="1">"c7964"</definedName>
    <definedName name="IQ_ECO_METRIC_7965" hidden="1">"c7965"</definedName>
    <definedName name="IQ_ECO_METRIC_7966" hidden="1">"c7966"</definedName>
    <definedName name="IQ_ECO_METRIC_7967" hidden="1">"c7967"</definedName>
    <definedName name="IQ_ECO_METRIC_7968" hidden="1">"c7968"</definedName>
    <definedName name="IQ_ECO_METRIC_7969" hidden="1">"c7969"</definedName>
    <definedName name="IQ_ECO_METRIC_7970" hidden="1">"c7970"</definedName>
    <definedName name="IQ_ECO_METRIC_7971" hidden="1">"c7971"</definedName>
    <definedName name="IQ_ECO_METRIC_7972" hidden="1">"c7972"</definedName>
    <definedName name="IQ_ECO_METRIC_7973" hidden="1">"c7973"</definedName>
    <definedName name="IQ_ECO_METRIC_7974" hidden="1">"c7974"</definedName>
    <definedName name="IQ_ECO_METRIC_7975" hidden="1">"c7975"</definedName>
    <definedName name="IQ_ECO_METRIC_7976" hidden="1">"c7976"</definedName>
    <definedName name="IQ_ECO_METRIC_7977" hidden="1">"c7977"</definedName>
    <definedName name="IQ_ECO_METRIC_7978" hidden="1">"c7978"</definedName>
    <definedName name="IQ_ECO_METRIC_7979" hidden="1">"c7979"</definedName>
    <definedName name="IQ_ECO_METRIC_7980" hidden="1">"c7980"</definedName>
    <definedName name="IQ_ECO_METRIC_7981" hidden="1">"c7981"</definedName>
    <definedName name="IQ_ECO_METRIC_7982" hidden="1">"c7982"</definedName>
    <definedName name="IQ_ECO_METRIC_7983" hidden="1">"c7983"</definedName>
    <definedName name="IQ_ECO_METRIC_7984" hidden="1">"c7984"</definedName>
    <definedName name="IQ_ECO_METRIC_7985" hidden="1">"c7985"</definedName>
    <definedName name="IQ_ECO_METRIC_7986" hidden="1">"c7986"</definedName>
    <definedName name="IQ_ECO_METRIC_7987" hidden="1">"c7987"</definedName>
    <definedName name="IQ_ECO_METRIC_7988" hidden="1">"c7988"</definedName>
    <definedName name="IQ_ECO_METRIC_7989" hidden="1">"c7989"</definedName>
    <definedName name="IQ_ECO_METRIC_7990" hidden="1">"c7990"</definedName>
    <definedName name="IQ_ECO_METRIC_7991" hidden="1">"c7991"</definedName>
    <definedName name="IQ_ECO_METRIC_7992" hidden="1">"c7992"</definedName>
    <definedName name="IQ_ECO_METRIC_7993" hidden="1">"c7993"</definedName>
    <definedName name="IQ_ECO_METRIC_7994" hidden="1">"c7994"</definedName>
    <definedName name="IQ_ECO_METRIC_7995" hidden="1">"c7995"</definedName>
    <definedName name="IQ_ECO_METRIC_7996" hidden="1">"c7996"</definedName>
    <definedName name="IQ_ECO_METRIC_7997" hidden="1">"c7997"</definedName>
    <definedName name="IQ_ECO_METRIC_7999" hidden="1">"c7999"</definedName>
    <definedName name="IQ_ECO_METRIC_8000" hidden="1">"c8000"</definedName>
    <definedName name="IQ_ECO_METRIC_8001" hidden="1">"c8001"</definedName>
    <definedName name="IQ_ECO_METRIC_8002" hidden="1">"c8002"</definedName>
    <definedName name="IQ_ECO_METRIC_8003" hidden="1">"c8003"</definedName>
    <definedName name="IQ_ECO_METRIC_8004" hidden="1">"c8004"</definedName>
    <definedName name="IQ_ECO_METRIC_8005" hidden="1">"c8005"</definedName>
    <definedName name="IQ_ECO_METRIC_8006" hidden="1">"c8006"</definedName>
    <definedName name="IQ_ECO_METRIC_8007" hidden="1">"c8007"</definedName>
    <definedName name="IQ_ECO_METRIC_8008" hidden="1">"c8008"</definedName>
    <definedName name="IQ_ECO_METRIC_8009" hidden="1">"c8009"</definedName>
    <definedName name="IQ_ECO_METRIC_8010" hidden="1">"c8010"</definedName>
    <definedName name="IQ_ECO_METRIC_8011" hidden="1">"c8011"</definedName>
    <definedName name="IQ_ECO_METRIC_8012" hidden="1">"c8012"</definedName>
    <definedName name="IQ_ECO_METRIC_8013" hidden="1">"c8013"</definedName>
    <definedName name="IQ_ECO_METRIC_8014" hidden="1">"c8014"</definedName>
    <definedName name="IQ_ECO_METRIC_8015" hidden="1">"c8015"</definedName>
    <definedName name="IQ_ECO_METRIC_8016" hidden="1">"c8016"</definedName>
    <definedName name="IQ_ECO_METRIC_8017" hidden="1">"c8017"</definedName>
    <definedName name="IQ_ECO_METRIC_8018" hidden="1">"c8018"</definedName>
    <definedName name="IQ_ECO_METRIC_8019" hidden="1">"c8019"</definedName>
    <definedName name="IQ_ECO_METRIC_8020" hidden="1">"c8020"</definedName>
    <definedName name="IQ_ECO_METRIC_8021" hidden="1">"c8021"</definedName>
    <definedName name="IQ_ECO_METRIC_8022" hidden="1">"c8022"</definedName>
    <definedName name="IQ_ECO_METRIC_8023" hidden="1">"c8023"</definedName>
    <definedName name="IQ_ECO_METRIC_8024" hidden="1">"c8024"</definedName>
    <definedName name="IQ_ECO_METRIC_8025" hidden="1">"c8025"</definedName>
    <definedName name="IQ_ECO_METRIC_8026" hidden="1">"c8026"</definedName>
    <definedName name="IQ_ECO_METRIC_8028" hidden="1">"c8028"</definedName>
    <definedName name="IQ_ECO_METRIC_8029" hidden="1">"c8029"</definedName>
    <definedName name="IQ_ECO_METRIC_8030" hidden="1">"c8030"</definedName>
    <definedName name="IQ_ECO_METRIC_8032" hidden="1">"c8032"</definedName>
    <definedName name="IQ_ECO_METRIC_8033" hidden="1">"c8033"</definedName>
    <definedName name="IQ_ECO_METRIC_8034" hidden="1">"c8034"</definedName>
    <definedName name="IQ_ECO_METRIC_8035" hidden="1">"c8035"</definedName>
    <definedName name="IQ_ECO_METRIC_8036" hidden="1">"c8036"</definedName>
    <definedName name="IQ_ECO_METRIC_8037" hidden="1">"c8037"</definedName>
    <definedName name="IQ_ECO_METRIC_8038" hidden="1">"c8038"</definedName>
    <definedName name="IQ_ECO_METRIC_8039" hidden="1">"c8039"</definedName>
    <definedName name="IQ_ECO_METRIC_8040" hidden="1">"c8040"</definedName>
    <definedName name="IQ_ECO_METRIC_8041" hidden="1">"c8041"</definedName>
    <definedName name="IQ_ECO_METRIC_8042" hidden="1">"c8042"</definedName>
    <definedName name="IQ_ECO_METRIC_8043" hidden="1">"c8043"</definedName>
    <definedName name="IQ_ECO_METRIC_8044" hidden="1">"c8044"</definedName>
    <definedName name="IQ_ECO_METRIC_8045" hidden="1">"c8045"</definedName>
    <definedName name="IQ_ECO_METRIC_8046" hidden="1">"c8046"</definedName>
    <definedName name="IQ_ECO_METRIC_8047" hidden="1">"c8047"</definedName>
    <definedName name="IQ_ECO_METRIC_8048" hidden="1">"c8048"</definedName>
    <definedName name="IQ_ECO_METRIC_8049" hidden="1">"c8049"</definedName>
    <definedName name="IQ_ECO_METRIC_8050" hidden="1">"c8050"</definedName>
    <definedName name="IQ_ECO_METRIC_8051" hidden="1">"c8051"</definedName>
    <definedName name="IQ_ECO_METRIC_8052" hidden="1">"c8052"</definedName>
    <definedName name="IQ_ECO_METRIC_8053" hidden="1">"c8053"</definedName>
    <definedName name="IQ_ECO_METRIC_8054" hidden="1">"c8054"</definedName>
    <definedName name="IQ_ECO_METRIC_8055" hidden="1">"c8055"</definedName>
    <definedName name="IQ_ECO_METRIC_8056" hidden="1">"c8056"</definedName>
    <definedName name="IQ_ECO_METRIC_8057" hidden="1">"c8057"</definedName>
    <definedName name="IQ_ECO_METRIC_8058" hidden="1">"c8058"</definedName>
    <definedName name="IQ_ECO_METRIC_8059" hidden="1">"c8059"</definedName>
    <definedName name="IQ_ECO_METRIC_8060" hidden="1">"c8060"</definedName>
    <definedName name="IQ_ECO_METRIC_8062" hidden="1">"c8062"</definedName>
    <definedName name="IQ_ECO_METRIC_8063" hidden="1">"c8063"</definedName>
    <definedName name="IQ_ECO_METRIC_8064" hidden="1">"c8064"</definedName>
    <definedName name="IQ_ECO_METRIC_8065" hidden="1">"c8065"</definedName>
    <definedName name="IQ_ECO_METRIC_8066" hidden="1">"c8066"</definedName>
    <definedName name="IQ_ECO_METRIC_8067" hidden="1">"c8067"</definedName>
    <definedName name="IQ_ECO_METRIC_8068" hidden="1">"c8068"</definedName>
    <definedName name="IQ_ECO_METRIC_8069" hidden="1">"c8069"</definedName>
    <definedName name="IQ_ECO_METRIC_8070" hidden="1">"c8070"</definedName>
    <definedName name="IQ_ECO_METRIC_8071" hidden="1">"c8071"</definedName>
    <definedName name="IQ_ECO_METRIC_8072" hidden="1">"c8072"</definedName>
    <definedName name="IQ_ECO_METRIC_8073" hidden="1">"c8073"</definedName>
    <definedName name="IQ_ECO_METRIC_8074" hidden="1">"c8074"</definedName>
    <definedName name="IQ_ECO_METRIC_8075" hidden="1">"c8075"</definedName>
    <definedName name="IQ_ECO_METRIC_8076" hidden="1">"c8076"</definedName>
    <definedName name="IQ_ECO_METRIC_8077" hidden="1">"c8077"</definedName>
    <definedName name="IQ_ECO_METRIC_8078" hidden="1">"c8078"</definedName>
    <definedName name="IQ_ECO_METRIC_8079" hidden="1">"c8079"</definedName>
    <definedName name="IQ_ECO_METRIC_8080" hidden="1">"c8080"</definedName>
    <definedName name="IQ_ECO_METRIC_8081" hidden="1">"c8081"</definedName>
    <definedName name="IQ_ECO_METRIC_8082" hidden="1">"c8082"</definedName>
    <definedName name="IQ_ECO_METRIC_8083" hidden="1">"c8083"</definedName>
    <definedName name="IQ_ECO_METRIC_8084" hidden="1">"c8084"</definedName>
    <definedName name="IQ_ECO_METRIC_8085" hidden="1">"c8085"</definedName>
    <definedName name="IQ_ECO_METRIC_8086" hidden="1">"c8086"</definedName>
    <definedName name="IQ_ECO_METRIC_8087" hidden="1">"c8087"</definedName>
    <definedName name="IQ_ECO_METRIC_8088" hidden="1">"c8088"</definedName>
    <definedName name="IQ_ECO_METRIC_8089" hidden="1">"c8089"</definedName>
    <definedName name="IQ_ECO_METRIC_8090" hidden="1">"c8090"</definedName>
    <definedName name="IQ_ECO_METRIC_8091" hidden="1">"c8091"</definedName>
    <definedName name="IQ_ECO_METRIC_8092" hidden="1">"c8092"</definedName>
    <definedName name="IQ_ECO_METRIC_8094" hidden="1">"c8094"</definedName>
    <definedName name="IQ_ECO_METRIC_8095" hidden="1">"c8095"</definedName>
    <definedName name="IQ_ECO_METRIC_8096" hidden="1">"c8096"</definedName>
    <definedName name="IQ_ECO_METRIC_8097" hidden="1">"c8097"</definedName>
    <definedName name="IQ_ECO_METRIC_8098" hidden="1">"c8098"</definedName>
    <definedName name="IQ_ECO_METRIC_8100" hidden="1">"c8100"</definedName>
    <definedName name="IQ_ECO_METRIC_8101" hidden="1">"c8101"</definedName>
    <definedName name="IQ_ECO_METRIC_8102" hidden="1">"c8102"</definedName>
    <definedName name="IQ_ECO_METRIC_8103" hidden="1">"c8103"</definedName>
    <definedName name="IQ_ECO_METRIC_8104" hidden="1">"c8104"</definedName>
    <definedName name="IQ_ECO_METRIC_8105" hidden="1">"c8105"</definedName>
    <definedName name="IQ_ECO_METRIC_8106" hidden="1">"c8106"</definedName>
    <definedName name="IQ_ECO_METRIC_8107" hidden="1">"c8107"</definedName>
    <definedName name="IQ_ECO_METRIC_8108" hidden="1">"c8108"</definedName>
    <definedName name="IQ_ECO_METRIC_8109" hidden="1">"c8109"</definedName>
    <definedName name="IQ_ECO_METRIC_8110" hidden="1">"c8110"</definedName>
    <definedName name="IQ_ECO_METRIC_8111" hidden="1">"c8111"</definedName>
    <definedName name="IQ_ECO_METRIC_8112" hidden="1">"c8112"</definedName>
    <definedName name="IQ_ECO_METRIC_8113" hidden="1">"c8113"</definedName>
    <definedName name="IQ_ECO_METRIC_8115" hidden="1">"c8115"</definedName>
    <definedName name="IQ_ECO_METRIC_8116" hidden="1">"c8116"</definedName>
    <definedName name="IQ_ECO_METRIC_8117" hidden="1">"c8117"</definedName>
    <definedName name="IQ_ECO_METRIC_8118" hidden="1">"c8118"</definedName>
    <definedName name="IQ_ECO_METRIC_8119" hidden="1">"c8119"</definedName>
    <definedName name="IQ_ECO_METRIC_8120" hidden="1">"c8120"</definedName>
    <definedName name="IQ_ECO_METRIC_8121" hidden="1">"c8121"</definedName>
    <definedName name="IQ_ECO_METRIC_8123" hidden="1">"c8123"</definedName>
    <definedName name="IQ_ECO_METRIC_8124" hidden="1">"c8124"</definedName>
    <definedName name="IQ_ECO_METRIC_8125" hidden="1">"c8125"</definedName>
    <definedName name="IQ_ECO_METRIC_8126" hidden="1">"c8126"</definedName>
    <definedName name="IQ_ECO_METRIC_8127" hidden="1">"c8127"</definedName>
    <definedName name="IQ_ECO_METRIC_8128" hidden="1">"c8128"</definedName>
    <definedName name="IQ_ECO_METRIC_8129" hidden="1">"c8129"</definedName>
    <definedName name="IQ_ECO_METRIC_8130" hidden="1">"c8130"</definedName>
    <definedName name="IQ_ECO_METRIC_8131" hidden="1">"c8131"</definedName>
    <definedName name="IQ_ECO_METRIC_8132" hidden="1">"c8132"</definedName>
    <definedName name="IQ_ECO_METRIC_8133" hidden="1">"c8133"</definedName>
    <definedName name="IQ_ECO_METRIC_8134" hidden="1">"c8134"</definedName>
    <definedName name="IQ_ECO_METRIC_8135" hidden="1">"c8135"</definedName>
    <definedName name="IQ_ECO_METRIC_8136" hidden="1">"c8136"</definedName>
    <definedName name="IQ_ECO_METRIC_8137" hidden="1">"c8137"</definedName>
    <definedName name="IQ_ECO_METRIC_8138" hidden="1">"c8138"</definedName>
    <definedName name="IQ_ECO_METRIC_8139" hidden="1">"c8139"</definedName>
    <definedName name="IQ_ECO_METRIC_8140" hidden="1">"c8140"</definedName>
    <definedName name="IQ_ECO_METRIC_8141" hidden="1">"c8141"</definedName>
    <definedName name="IQ_ECO_METRIC_8142" hidden="1">"c8142"</definedName>
    <definedName name="IQ_ECO_METRIC_8143" hidden="1">"c8143"</definedName>
    <definedName name="IQ_ECO_METRIC_8145" hidden="1">"c8145"</definedName>
    <definedName name="IQ_ECO_METRIC_8147" hidden="1">"c8147"</definedName>
    <definedName name="IQ_ECO_METRIC_8148" hidden="1">"c8148"</definedName>
    <definedName name="IQ_ECO_METRIC_8149" hidden="1">"c8149"</definedName>
    <definedName name="IQ_ECO_METRIC_8150" hidden="1">"c8150"</definedName>
    <definedName name="IQ_ECO_METRIC_8152" hidden="1">"c8152"</definedName>
    <definedName name="IQ_ECO_METRIC_8153" hidden="1">"c8153"</definedName>
    <definedName name="IQ_ECO_METRIC_8154" hidden="1">"c8154"</definedName>
    <definedName name="IQ_ECO_METRIC_8155" hidden="1">"c8155"</definedName>
    <definedName name="IQ_ECO_METRIC_8156" hidden="1">"c8156"</definedName>
    <definedName name="IQ_ECO_METRIC_8157" hidden="1">"c8157"</definedName>
    <definedName name="IQ_ECO_METRIC_8159" hidden="1">"c8159"</definedName>
    <definedName name="IQ_ECO_METRIC_8160" hidden="1">"c8160"</definedName>
    <definedName name="IQ_ECO_METRIC_8161" hidden="1">"c8161"</definedName>
    <definedName name="IQ_ECO_METRIC_8162" hidden="1">"c8162"</definedName>
    <definedName name="IQ_ECO_METRIC_8163" hidden="1">"c8163"</definedName>
    <definedName name="IQ_ECO_METRIC_8164" hidden="1">"c8164"</definedName>
    <definedName name="IQ_ECO_METRIC_8165" hidden="1">"c8165"</definedName>
    <definedName name="IQ_ECO_METRIC_8166" hidden="1">"c8166"</definedName>
    <definedName name="IQ_ECO_METRIC_8167" hidden="1">"c8167"</definedName>
    <definedName name="IQ_ECO_METRIC_8168" hidden="1">"c8168"</definedName>
    <definedName name="IQ_ECO_METRIC_8169" hidden="1">"c8169"</definedName>
    <definedName name="IQ_ECO_METRIC_8170" hidden="1">"c8170"</definedName>
    <definedName name="IQ_ECO_METRIC_8171" hidden="1">"c8171"</definedName>
    <definedName name="IQ_ECO_METRIC_8172" hidden="1">"c8172"</definedName>
    <definedName name="IQ_ECO_METRIC_8173" hidden="1">"c8173"</definedName>
    <definedName name="IQ_ECO_METRIC_8174" hidden="1">"c8174"</definedName>
    <definedName name="IQ_ECO_METRIC_8175" hidden="1">"c8175"</definedName>
    <definedName name="IQ_ECO_METRIC_8176" hidden="1">"c8176"</definedName>
    <definedName name="IQ_ECO_METRIC_8177" hidden="1">"c8177"</definedName>
    <definedName name="IQ_ECO_METRIC_8178" hidden="1">"c8178"</definedName>
    <definedName name="IQ_ECO_METRIC_8179" hidden="1">"c8179"</definedName>
    <definedName name="IQ_ECO_METRIC_8180" hidden="1">"c8180"</definedName>
    <definedName name="IQ_ECO_METRIC_8181" hidden="1">"c8181"</definedName>
    <definedName name="IQ_ECO_METRIC_8182" hidden="1">"c8182"</definedName>
    <definedName name="IQ_ECO_METRIC_8183" hidden="1">"c8183"</definedName>
    <definedName name="IQ_ECO_METRIC_8184" hidden="1">"c8184"</definedName>
    <definedName name="IQ_ECO_METRIC_8185" hidden="1">"c8185"</definedName>
    <definedName name="IQ_ECO_METRIC_8186" hidden="1">"c8186"</definedName>
    <definedName name="IQ_ECO_METRIC_8187" hidden="1">"c8187"</definedName>
    <definedName name="IQ_ECO_METRIC_8188" hidden="1">"c8188"</definedName>
    <definedName name="IQ_ECO_METRIC_8189" hidden="1">"c8189"</definedName>
    <definedName name="IQ_ECO_METRIC_8190" hidden="1">"c8190"</definedName>
    <definedName name="IQ_ECO_METRIC_8191" hidden="1">"c8191"</definedName>
    <definedName name="IQ_ECO_METRIC_8192" hidden="1">"c8192"</definedName>
    <definedName name="IQ_ECO_METRIC_8193" hidden="1">"c8193"</definedName>
    <definedName name="IQ_ECO_METRIC_8194" hidden="1">"c8194"</definedName>
    <definedName name="IQ_ECO_METRIC_8195" hidden="1">"c8195"</definedName>
    <definedName name="IQ_ECO_METRIC_8196" hidden="1">"c8196"</definedName>
    <definedName name="IQ_ECO_METRIC_8197" hidden="1">"c8197"</definedName>
    <definedName name="IQ_ECO_METRIC_8198" hidden="1">"c8198"</definedName>
    <definedName name="IQ_ECO_METRIC_8199" hidden="1">"c8199"</definedName>
    <definedName name="IQ_ECO_METRIC_8200" hidden="1">"c8200"</definedName>
    <definedName name="IQ_ECO_METRIC_8201" hidden="1">"c8201"</definedName>
    <definedName name="IQ_ECO_METRIC_8202" hidden="1">"c8202"</definedName>
    <definedName name="IQ_ECO_METRIC_8203" hidden="1">"c8203"</definedName>
    <definedName name="IQ_ECO_METRIC_8204" hidden="1">"c8204"</definedName>
    <definedName name="IQ_ECO_METRIC_8205" hidden="1">"c8205"</definedName>
    <definedName name="IQ_ECO_METRIC_8206" hidden="1">"c8206"</definedName>
    <definedName name="IQ_ECO_METRIC_8207" hidden="1">"c8207"</definedName>
    <definedName name="IQ_ECO_METRIC_8208" hidden="1">"c8208"</definedName>
    <definedName name="IQ_ECO_METRIC_8209" hidden="1">"c8209"</definedName>
    <definedName name="IQ_ECO_METRIC_8210" hidden="1">"c8210"</definedName>
    <definedName name="IQ_ECO_METRIC_8211" hidden="1">"c8211"</definedName>
    <definedName name="IQ_ECO_METRIC_8212" hidden="1">"c8212"</definedName>
    <definedName name="IQ_ECO_METRIC_8213" hidden="1">"c8213"</definedName>
    <definedName name="IQ_ECO_METRIC_8214" hidden="1">"c8214"</definedName>
    <definedName name="IQ_ECO_METRIC_8215" hidden="1">"c8215"</definedName>
    <definedName name="IQ_ECO_METRIC_8216" hidden="1">"c8216"</definedName>
    <definedName name="IQ_ECO_METRIC_8217" hidden="1">"c8217"</definedName>
    <definedName name="IQ_ECO_METRIC_8219" hidden="1">"c8219"</definedName>
    <definedName name="IQ_ECO_METRIC_8221" hidden="1">"c8221"</definedName>
    <definedName name="IQ_ECO_METRIC_8222" hidden="1">"c8222"</definedName>
    <definedName name="IQ_ECO_METRIC_8223" hidden="1">"c8223"</definedName>
    <definedName name="IQ_ECO_METRIC_8224" hidden="1">"c8224"</definedName>
    <definedName name="IQ_ECO_METRIC_8225" hidden="1">"c8225"</definedName>
    <definedName name="IQ_ECO_METRIC_8226" hidden="1">"c8226"</definedName>
    <definedName name="IQ_ECO_METRIC_8227" hidden="1">"c8227"</definedName>
    <definedName name="IQ_ECO_METRIC_8228" hidden="1">"c8228"</definedName>
    <definedName name="IQ_ECO_METRIC_8229" hidden="1">"c8229"</definedName>
    <definedName name="IQ_ECO_METRIC_8230" hidden="1">"c8230"</definedName>
    <definedName name="IQ_ECO_METRIC_8231" hidden="1">"c8231"</definedName>
    <definedName name="IQ_ECO_METRIC_8232" hidden="1">"c8232"</definedName>
    <definedName name="IQ_ECO_METRIC_8233" hidden="1">"c8233"</definedName>
    <definedName name="IQ_ECO_METRIC_8234" hidden="1">"c8234"</definedName>
    <definedName name="IQ_ECO_METRIC_8235" hidden="1">"c8235"</definedName>
    <definedName name="IQ_ECO_METRIC_8236" hidden="1">"c8236"</definedName>
    <definedName name="IQ_ECO_METRIC_8237" hidden="1">"c8237"</definedName>
    <definedName name="IQ_ECO_METRIC_8238" hidden="1">"c8238"</definedName>
    <definedName name="IQ_ECO_METRIC_8239" hidden="1">"c8239"</definedName>
    <definedName name="IQ_ECO_METRIC_8240" hidden="1">"c8240"</definedName>
    <definedName name="IQ_ECO_METRIC_8241" hidden="1">"c8241"</definedName>
    <definedName name="IQ_ECO_METRIC_8242" hidden="1">"c8242"</definedName>
    <definedName name="IQ_ECO_METRIC_8243" hidden="1">"c8243"</definedName>
    <definedName name="IQ_ECO_METRIC_8244" hidden="1">"c8244"</definedName>
    <definedName name="IQ_ECO_METRIC_8245" hidden="1">"c8245"</definedName>
    <definedName name="IQ_ECO_METRIC_8246" hidden="1">"c8246"</definedName>
    <definedName name="IQ_ECO_METRIC_8248" hidden="1">"c8248"</definedName>
    <definedName name="IQ_ECO_METRIC_8249" hidden="1">"c8249"</definedName>
    <definedName name="IQ_ECO_METRIC_8250" hidden="1">"c8250"</definedName>
    <definedName name="IQ_ECO_METRIC_8252" hidden="1">"c8252"</definedName>
    <definedName name="IQ_ECO_METRIC_8253" hidden="1">"c8253"</definedName>
    <definedName name="IQ_ECO_METRIC_8254" hidden="1">"c8254"</definedName>
    <definedName name="IQ_ECO_METRIC_8255" hidden="1">"c8255"</definedName>
    <definedName name="IQ_ECO_METRIC_8256" hidden="1">"c8256"</definedName>
    <definedName name="IQ_ECO_METRIC_8257" hidden="1">"c8257"</definedName>
    <definedName name="IQ_ECO_METRIC_8258" hidden="1">"c8258"</definedName>
    <definedName name="IQ_ECO_METRIC_8259" hidden="1">"c8259"</definedName>
    <definedName name="IQ_ECO_METRIC_8260" hidden="1">"c8260"</definedName>
    <definedName name="IQ_ECO_METRIC_8261" hidden="1">"c8261"</definedName>
    <definedName name="IQ_ECO_METRIC_8262" hidden="1">"c8262"</definedName>
    <definedName name="IQ_ECO_METRIC_8263" hidden="1">"c8263"</definedName>
    <definedName name="IQ_ECO_METRIC_8264" hidden="1">"c8264"</definedName>
    <definedName name="IQ_ECO_METRIC_8265" hidden="1">"c8265"</definedName>
    <definedName name="IQ_ECO_METRIC_8266" hidden="1">"c8266"</definedName>
    <definedName name="IQ_ECO_METRIC_8267" hidden="1">"c8267"</definedName>
    <definedName name="IQ_ECO_METRIC_8268" hidden="1">"c8268"</definedName>
    <definedName name="IQ_ECO_METRIC_8269" hidden="1">"c8269"</definedName>
    <definedName name="IQ_ECO_METRIC_8270" hidden="1">"c8270"</definedName>
    <definedName name="IQ_ECO_METRIC_8271" hidden="1">"c8271"</definedName>
    <definedName name="IQ_ECO_METRIC_8272" hidden="1">"c8272"</definedName>
    <definedName name="IQ_ECO_METRIC_8273" hidden="1">"c8273"</definedName>
    <definedName name="IQ_ECO_METRIC_8274" hidden="1">"c8274"</definedName>
    <definedName name="IQ_ECO_METRIC_8275" hidden="1">"c8275"</definedName>
    <definedName name="IQ_ECO_METRIC_8276" hidden="1">"c8276"</definedName>
    <definedName name="IQ_ECO_METRIC_8277" hidden="1">"c8277"</definedName>
    <definedName name="IQ_ECO_METRIC_8278" hidden="1">"c8278"</definedName>
    <definedName name="IQ_ECO_METRIC_8279" hidden="1">"c8279"</definedName>
    <definedName name="IQ_ECO_METRIC_8280" hidden="1">"c8280"</definedName>
    <definedName name="IQ_ECO_METRIC_8282" hidden="1">"c8282"</definedName>
    <definedName name="IQ_ECO_METRIC_8283" hidden="1">"c8283"</definedName>
    <definedName name="IQ_ECO_METRIC_8284" hidden="1">"c8284"</definedName>
    <definedName name="IQ_ECO_METRIC_8285" hidden="1">"c8285"</definedName>
    <definedName name="IQ_ECO_METRIC_8286" hidden="1">"c8286"</definedName>
    <definedName name="IQ_ECO_METRIC_8287" hidden="1">"c8287"</definedName>
    <definedName name="IQ_ECO_METRIC_8288" hidden="1">"c8288"</definedName>
    <definedName name="IQ_ECO_METRIC_8289" hidden="1">"c8289"</definedName>
    <definedName name="IQ_ECO_METRIC_8290" hidden="1">"c8290"</definedName>
    <definedName name="IQ_ECO_METRIC_8291" hidden="1">"c8291"</definedName>
    <definedName name="IQ_ECO_METRIC_8292" hidden="1">"c8292"</definedName>
    <definedName name="IQ_ECO_METRIC_8293" hidden="1">"c8293"</definedName>
    <definedName name="IQ_ECO_METRIC_8294" hidden="1">"c8294"</definedName>
    <definedName name="IQ_ECO_METRIC_8295" hidden="1">"c8295"</definedName>
    <definedName name="IQ_ECO_METRIC_8296" hidden="1">"c8296"</definedName>
    <definedName name="IQ_ECO_METRIC_8297" hidden="1">"c8297"</definedName>
    <definedName name="IQ_ECO_METRIC_8298" hidden="1">"c8298"</definedName>
    <definedName name="IQ_ECO_METRIC_8299" hidden="1">"c8299"</definedName>
    <definedName name="IQ_ECO_METRIC_8300" hidden="1">"c8300"</definedName>
    <definedName name="IQ_ECO_METRIC_8301" hidden="1">"c8301"</definedName>
    <definedName name="IQ_ECO_METRIC_8302" hidden="1">"c8302"</definedName>
    <definedName name="IQ_ECO_METRIC_8303" hidden="1">"c8303"</definedName>
    <definedName name="IQ_ECO_METRIC_8304" hidden="1">"c8304"</definedName>
    <definedName name="IQ_ECO_METRIC_8305" hidden="1">"c8305"</definedName>
    <definedName name="IQ_ECO_METRIC_8306" hidden="1">"c8306"</definedName>
    <definedName name="IQ_ECO_METRIC_8307" hidden="1">"c8307"</definedName>
    <definedName name="IQ_ECO_METRIC_8308" hidden="1">"c8308"</definedName>
    <definedName name="IQ_ECO_METRIC_8309" hidden="1">"c8309"</definedName>
    <definedName name="IQ_ECO_METRIC_8310" hidden="1">"c8310"</definedName>
    <definedName name="IQ_ECO_METRIC_8311" hidden="1">"c8311"</definedName>
    <definedName name="IQ_ECO_METRIC_8312" hidden="1">"c8312"</definedName>
    <definedName name="IQ_ECO_METRIC_8314" hidden="1">"c8314"</definedName>
    <definedName name="IQ_ECO_METRIC_8315" hidden="1">"c8315"</definedName>
    <definedName name="IQ_ECO_METRIC_8316" hidden="1">"c8316"</definedName>
    <definedName name="IQ_ECO_METRIC_8317" hidden="1">"c8317"</definedName>
    <definedName name="IQ_ECO_METRIC_8318" hidden="1">"c8318"</definedName>
    <definedName name="IQ_ECO_METRIC_8320" hidden="1">"c8320"</definedName>
    <definedName name="IQ_ECO_METRIC_8321" hidden="1">"c8321"</definedName>
    <definedName name="IQ_ECO_METRIC_8322" hidden="1">"c8322"</definedName>
    <definedName name="IQ_ECO_METRIC_8323" hidden="1">"c8323"</definedName>
    <definedName name="IQ_ECO_METRIC_8324" hidden="1">"c8324"</definedName>
    <definedName name="IQ_ECO_METRIC_8325" hidden="1">"c8325"</definedName>
    <definedName name="IQ_ECO_METRIC_8326" hidden="1">"c8326"</definedName>
    <definedName name="IQ_ECO_METRIC_8327" hidden="1">"c8327"</definedName>
    <definedName name="IQ_ECO_METRIC_8328" hidden="1">"c8328"</definedName>
    <definedName name="IQ_ECO_METRIC_8329" hidden="1">"c8329"</definedName>
    <definedName name="IQ_ECO_METRIC_8330" hidden="1">"c8330"</definedName>
    <definedName name="IQ_ECO_METRIC_8331" hidden="1">"c8331"</definedName>
    <definedName name="IQ_ECO_METRIC_8332" hidden="1">"c8332"</definedName>
    <definedName name="IQ_ECO_METRIC_8333" hidden="1">"c8333"</definedName>
    <definedName name="IQ_ECO_METRIC_8335" hidden="1">"c8335"</definedName>
    <definedName name="IQ_ECO_METRIC_8336" hidden="1">"c8336"</definedName>
    <definedName name="IQ_ECO_METRIC_8337" hidden="1">"c8337"</definedName>
    <definedName name="IQ_ECO_METRIC_8338" hidden="1">"c8338"</definedName>
    <definedName name="IQ_ECO_METRIC_8339" hidden="1">"c8339"</definedName>
    <definedName name="IQ_ECO_METRIC_8340" hidden="1">"c8340"</definedName>
    <definedName name="IQ_ECO_METRIC_8341" hidden="1">"c8341"</definedName>
    <definedName name="IQ_ECO_METRIC_8343" hidden="1">"c8343"</definedName>
    <definedName name="IQ_ECO_METRIC_8344" hidden="1">"c8344"</definedName>
    <definedName name="IQ_ECO_METRIC_8345" hidden="1">"c8345"</definedName>
    <definedName name="IQ_ECO_METRIC_8346" hidden="1">"c8346"</definedName>
    <definedName name="IQ_ECO_METRIC_8347" hidden="1">"c8347"</definedName>
    <definedName name="IQ_ECO_METRIC_8348" hidden="1">"c8348"</definedName>
    <definedName name="IQ_ECO_METRIC_8349" hidden="1">"c8349"</definedName>
    <definedName name="IQ_ECO_METRIC_8350" hidden="1">"c8350"</definedName>
    <definedName name="IQ_ECO_METRIC_8352" hidden="1">"c8352"</definedName>
    <definedName name="IQ_ECO_METRIC_8353" hidden="1">"c8353"</definedName>
    <definedName name="IQ_ECO_METRIC_8354" hidden="1">"c8354"</definedName>
    <definedName name="IQ_ECO_METRIC_8355" hidden="1">"c8355"</definedName>
    <definedName name="IQ_ECO_METRIC_8356" hidden="1">"c8356"</definedName>
    <definedName name="IQ_ECO_METRIC_8357" hidden="1">"c8357"</definedName>
    <definedName name="IQ_ECO_METRIC_8358" hidden="1">"c8358"</definedName>
    <definedName name="IQ_ECO_METRIC_8359" hidden="1">"c8359"</definedName>
    <definedName name="IQ_ECO_METRIC_8360" hidden="1">"c8360"</definedName>
    <definedName name="IQ_ECO_METRIC_8361" hidden="1">"c8361"</definedName>
    <definedName name="IQ_ECO_METRIC_8362" hidden="1">"c8362"</definedName>
    <definedName name="IQ_ECO_METRIC_8363" hidden="1">"c8363"</definedName>
    <definedName name="IQ_ECO_METRIC_8367" hidden="1">"c8367"</definedName>
    <definedName name="IQ_ECO_METRIC_8368" hidden="1">"c8368"</definedName>
    <definedName name="IQ_ECO_METRIC_8369" hidden="1">"c8369"</definedName>
    <definedName name="IQ_ECO_METRIC_8370" hidden="1">"c8370"</definedName>
    <definedName name="IQ_ECO_METRIC_8371" hidden="1">"c8371"</definedName>
    <definedName name="IQ_ECO_METRIC_8372" hidden="1">"c8372"</definedName>
    <definedName name="IQ_ECO_METRIC_8373" hidden="1">"c8373"</definedName>
    <definedName name="IQ_ECO_METRIC_8374" hidden="1">"c8374"</definedName>
    <definedName name="IQ_ECO_METRIC_8375" hidden="1">"c8375"</definedName>
    <definedName name="IQ_ECO_METRIC_8376" hidden="1">"c8376"</definedName>
    <definedName name="IQ_ECO_METRIC_8377" hidden="1">"c8377"</definedName>
    <definedName name="IQ_ECO_METRIC_8380" hidden="1">"c8380"</definedName>
    <definedName name="IQ_ECO_METRIC_8381" hidden="1">"c8381"</definedName>
    <definedName name="IQ_ECO_METRIC_8382" hidden="1">"c8382"</definedName>
    <definedName name="IQ_ECO_METRIC_8383" hidden="1">"c8383"</definedName>
    <definedName name="IQ_ECO_METRIC_8384" hidden="1">"c8384"</definedName>
    <definedName name="IQ_ECO_METRIC_8385" hidden="1">"c8385"</definedName>
    <definedName name="IQ_ECO_METRIC_8387" hidden="1">"c8387"</definedName>
    <definedName name="IQ_ECO_METRIC_8388" hidden="1">"c8388"</definedName>
    <definedName name="IQ_ECO_METRIC_8389" hidden="1">"c8389"</definedName>
    <definedName name="IQ_ECO_METRIC_8390" hidden="1">"c8390"</definedName>
    <definedName name="IQ_ECO_METRIC_8391" hidden="1">"c8391"</definedName>
    <definedName name="IQ_ECO_METRIC_8392" hidden="1">"c8392"</definedName>
    <definedName name="IQ_ECO_METRIC_8393" hidden="1">"c8393"</definedName>
    <definedName name="IQ_ECO_METRIC_8394" hidden="1">"c8394"</definedName>
    <definedName name="IQ_ECO_METRIC_8395" hidden="1">"c8395"</definedName>
    <definedName name="IQ_ECO_METRIC_8396" hidden="1">"c8396"</definedName>
    <definedName name="IQ_ECO_METRIC_8397" hidden="1">"c8397"</definedName>
    <definedName name="IQ_ECO_METRIC_8398" hidden="1">"c8398"</definedName>
    <definedName name="IQ_ECO_METRIC_8399" hidden="1">"c8399"</definedName>
    <definedName name="IQ_ECO_METRIC_8400" hidden="1">"c8400"</definedName>
    <definedName name="IQ_ECO_METRIC_8401" hidden="1">"c8401"</definedName>
    <definedName name="IQ_ECO_METRIC_8402" hidden="1">"c8402"</definedName>
    <definedName name="IQ_ECO_METRIC_8403" hidden="1">"c8403"</definedName>
    <definedName name="IQ_ECO_METRIC_8404" hidden="1">"c8404"</definedName>
    <definedName name="IQ_ECO_METRIC_8405" hidden="1">"c8405"</definedName>
    <definedName name="IQ_ECO_METRIC_8406" hidden="1">"c8406"</definedName>
    <definedName name="IQ_ECO_METRIC_8407" hidden="1">"c8407"</definedName>
    <definedName name="IQ_ECO_METRIC_8408" hidden="1">"c8408"</definedName>
    <definedName name="IQ_ECO_METRIC_8409" hidden="1">"c8409"</definedName>
    <definedName name="IQ_ECO_METRIC_8410" hidden="1">"c8410"</definedName>
    <definedName name="IQ_ECO_METRIC_8411" hidden="1">"c8411"</definedName>
    <definedName name="IQ_ECO_METRIC_8412" hidden="1">"c8412"</definedName>
    <definedName name="IQ_ECO_METRIC_8413" hidden="1">"c8413"</definedName>
    <definedName name="IQ_ECO_METRIC_8414" hidden="1">"c8414"</definedName>
    <definedName name="IQ_ECO_METRIC_8415" hidden="1">"c8415"</definedName>
    <definedName name="IQ_ECO_METRIC_8416" hidden="1">"c8416"</definedName>
    <definedName name="IQ_ECO_METRIC_8417" hidden="1">"c8417"</definedName>
    <definedName name="IQ_ECO_METRIC_8418" hidden="1">"c8418"</definedName>
    <definedName name="IQ_ECO_METRIC_8419" hidden="1">"c8419"</definedName>
    <definedName name="IQ_ECO_METRIC_8420" hidden="1">"c8420"</definedName>
    <definedName name="IQ_ECO_METRIC_8421" hidden="1">"c8421"</definedName>
    <definedName name="IQ_ECO_METRIC_8422" hidden="1">"c8422"</definedName>
    <definedName name="IQ_ECO_METRIC_8423" hidden="1">"c8423"</definedName>
    <definedName name="IQ_ECO_METRIC_8424" hidden="1">"c8424"</definedName>
    <definedName name="IQ_ECO_METRIC_8425" hidden="1">"c8425"</definedName>
    <definedName name="IQ_ECO_METRIC_8426" hidden="1">"c8426"</definedName>
    <definedName name="IQ_ECO_METRIC_8427" hidden="1">"c8427"</definedName>
    <definedName name="IQ_ECO_METRIC_8428" hidden="1">"c8428"</definedName>
    <definedName name="IQ_ECO_METRIC_8429" hidden="1">"c8429"</definedName>
    <definedName name="IQ_ECO_METRIC_8430" hidden="1">"c8430"</definedName>
    <definedName name="IQ_ECO_METRIC_8431" hidden="1">"c8431"</definedName>
    <definedName name="IQ_ECO_METRIC_8432" hidden="1">"c8432"</definedName>
    <definedName name="IQ_ECO_METRIC_8433" hidden="1">"c8433"</definedName>
    <definedName name="IQ_ECO_METRIC_8434" hidden="1">"c8434"</definedName>
    <definedName name="IQ_ECO_METRIC_8435" hidden="1">"c8435"</definedName>
    <definedName name="IQ_ECO_METRIC_8436" hidden="1">"c8436"</definedName>
    <definedName name="IQ_ECO_METRIC_8437" hidden="1">"c8437"</definedName>
    <definedName name="IQ_ECO_METRIC_8440" hidden="1">"c8440"</definedName>
    <definedName name="IQ_ECO_METRIC_8441" hidden="1">"c8441"</definedName>
    <definedName name="IQ_ECO_METRIC_8442" hidden="1">"c8442"</definedName>
    <definedName name="IQ_ECO_METRIC_8443" hidden="1">"c8443"</definedName>
    <definedName name="IQ_ECO_METRIC_8444" hidden="1">"c8444"</definedName>
    <definedName name="IQ_ECO_METRIC_8445" hidden="1">"c8445"</definedName>
    <definedName name="IQ_ECO_METRIC_8446" hidden="1">"c8446"</definedName>
    <definedName name="IQ_ECO_METRIC_8447" hidden="1">"c8447"</definedName>
    <definedName name="IQ_ECO_METRIC_8448" hidden="1">"c8448"</definedName>
    <definedName name="IQ_ECO_METRIC_8450" hidden="1">"c8450"</definedName>
    <definedName name="IQ_ECO_METRIC_8451" hidden="1">"c8451"</definedName>
    <definedName name="IQ_ECO_METRIC_8452" hidden="1">"c8452"</definedName>
    <definedName name="IQ_ECO_METRIC_8453" hidden="1">"c8453"</definedName>
    <definedName name="IQ_ECO_METRIC_8454" hidden="1">"c8454"</definedName>
    <definedName name="IQ_ECO_METRIC_8455" hidden="1">"c8455"</definedName>
    <definedName name="IQ_ECO_METRIC_8456" hidden="1">"c8456"</definedName>
    <definedName name="IQ_ECO_METRIC_8457" hidden="1">"c8457"</definedName>
    <definedName name="IQ_ECO_METRIC_8458" hidden="1">"c8458"</definedName>
    <definedName name="IQ_ECO_METRIC_8459" hidden="1">"c8459"</definedName>
    <definedName name="IQ_ECO_METRIC_8460" hidden="1">"c8460"</definedName>
    <definedName name="IQ_ECO_METRIC_8461" hidden="1">"c8461"</definedName>
    <definedName name="IQ_ECO_METRIC_8462" hidden="1">"c8462"</definedName>
    <definedName name="IQ_ECO_METRIC_8463" hidden="1">"c8463"</definedName>
    <definedName name="IQ_ECO_METRIC_8464" hidden="1">"c8464"</definedName>
    <definedName name="IQ_ECO_METRIC_8465" hidden="1">"c8465"</definedName>
    <definedName name="IQ_ECO_METRIC_8466" hidden="1">"c8466"</definedName>
    <definedName name="IQ_ECO_METRIC_8468" hidden="1">"c8468"</definedName>
    <definedName name="IQ_ECO_METRIC_8469" hidden="1">"c8469"</definedName>
    <definedName name="IQ_ECO_METRIC_8470" hidden="1">"c8470"</definedName>
    <definedName name="IQ_ECO_METRIC_8472" hidden="1">"c8472"</definedName>
    <definedName name="IQ_ECO_METRIC_8473" hidden="1">"c8473"</definedName>
    <definedName name="IQ_ECO_METRIC_8474" hidden="1">"c8474"</definedName>
    <definedName name="IQ_ECO_METRIC_8476" hidden="1">"c8476"</definedName>
    <definedName name="IQ_ECO_METRIC_8477" hidden="1">"c8477"</definedName>
    <definedName name="IQ_ECO_METRIC_8478" hidden="1">"c8478"</definedName>
    <definedName name="IQ_ECO_METRIC_8479" hidden="1">"c8479"</definedName>
    <definedName name="IQ_ECO_METRIC_8480" hidden="1">"c8480"</definedName>
    <definedName name="IQ_ECO_METRIC_8481" hidden="1">"c8481"</definedName>
    <definedName name="IQ_ECO_METRIC_8482" hidden="1">"c8482"</definedName>
    <definedName name="IQ_ECO_METRIC_8483" hidden="1">"c8483"</definedName>
    <definedName name="IQ_ECO_METRIC_8484" hidden="1">"c8484"</definedName>
    <definedName name="IQ_ECO_METRIC_8485" hidden="1">"c8485"</definedName>
    <definedName name="IQ_ECO_METRIC_8486" hidden="1">"c8486"</definedName>
    <definedName name="IQ_ECO_METRIC_8487" hidden="1">"c8487"</definedName>
    <definedName name="IQ_ECO_METRIC_8488" hidden="1">"c8488"</definedName>
    <definedName name="IQ_ECO_METRIC_8489" hidden="1">"c8489"</definedName>
    <definedName name="IQ_ECO_METRIC_8490" hidden="1">"c8490"</definedName>
    <definedName name="IQ_ECO_METRIC_8491" hidden="1">"c8491"</definedName>
    <definedName name="IQ_ECO_METRIC_8492" hidden="1">"c8492"</definedName>
    <definedName name="IQ_ECO_METRIC_8493" hidden="1">"c8493"</definedName>
    <definedName name="IQ_ECO_METRIC_8494" hidden="1">"c8494"</definedName>
    <definedName name="IQ_ECO_METRIC_8495" hidden="1">"c8495"</definedName>
    <definedName name="IQ_ECO_METRIC_8496" hidden="1">"c8496"</definedName>
    <definedName name="IQ_ECO_METRIC_8497" hidden="1">"c8497"</definedName>
    <definedName name="IQ_ECO_METRIC_8498" hidden="1">"c8498"</definedName>
    <definedName name="IQ_ECO_METRIC_8499" hidden="1">"c8499"</definedName>
    <definedName name="IQ_ECO_METRIC_8500" hidden="1">"c8500"</definedName>
    <definedName name="IQ_ECO_METRIC_8502" hidden="1">"c8502"</definedName>
    <definedName name="IQ_ECO_METRIC_8503" hidden="1">"c8503"</definedName>
    <definedName name="IQ_ECO_METRIC_8504" hidden="1">"c8504"</definedName>
    <definedName name="IQ_ECO_METRIC_8505" hidden="1">"c8505"</definedName>
    <definedName name="IQ_ECO_METRIC_8506" hidden="1">"c8506"</definedName>
    <definedName name="IQ_ECO_METRIC_8507" hidden="1">"c8507"</definedName>
    <definedName name="IQ_ECO_METRIC_8508" hidden="1">"c8508"</definedName>
    <definedName name="IQ_ECO_METRIC_8509" hidden="1">"c8509"</definedName>
    <definedName name="IQ_ECO_METRIC_8510" hidden="1">"c8510"</definedName>
    <definedName name="IQ_ECO_METRIC_8511" hidden="1">"c8511"</definedName>
    <definedName name="IQ_ECO_METRIC_8512" hidden="1">"c8512"</definedName>
    <definedName name="IQ_ECO_METRIC_8513" hidden="1">"c8513"</definedName>
    <definedName name="IQ_ECO_METRIC_8514" hidden="1">"c8514"</definedName>
    <definedName name="IQ_ECO_METRIC_8515" hidden="1">"c8515"</definedName>
    <definedName name="IQ_ECO_METRIC_8516" hidden="1">"c8516"</definedName>
    <definedName name="IQ_ECO_METRIC_8517" hidden="1">"c8517"</definedName>
    <definedName name="IQ_ECO_METRIC_8518" hidden="1">"c8518"</definedName>
    <definedName name="IQ_ECO_METRIC_8519" hidden="1">"c8519"</definedName>
    <definedName name="IQ_ECO_METRIC_8520" hidden="1">"c8520"</definedName>
    <definedName name="IQ_ECO_METRIC_8521" hidden="1">"c8521"</definedName>
    <definedName name="IQ_ECO_METRIC_8522" hidden="1">"c8522"</definedName>
    <definedName name="IQ_ECO_METRIC_8523" hidden="1">"c8523"</definedName>
    <definedName name="IQ_ECO_METRIC_8524" hidden="1">"c8524"</definedName>
    <definedName name="IQ_ECO_METRIC_8525" hidden="1">"c8525"</definedName>
    <definedName name="IQ_ECO_METRIC_8526" hidden="1">"c8526"</definedName>
    <definedName name="IQ_ECO_METRIC_8527" hidden="1">"c8527"</definedName>
    <definedName name="IQ_ECO_METRIC_8528" hidden="1">"c8528"</definedName>
    <definedName name="IQ_ECO_METRIC_8529" hidden="1">"c8529"</definedName>
    <definedName name="IQ_ECO_METRIC_8530" hidden="1">"c8530"</definedName>
    <definedName name="IQ_ECO_METRIC_8531" hidden="1">"c8531"</definedName>
    <definedName name="IQ_ECO_METRIC_8532" hidden="1">"c8532"</definedName>
    <definedName name="IQ_ECO_METRIC_8534" hidden="1">"c8534"</definedName>
    <definedName name="IQ_ECO_METRIC_8535" hidden="1">"c8535"</definedName>
    <definedName name="IQ_ECO_METRIC_8536" hidden="1">"c8536"</definedName>
    <definedName name="IQ_ECO_METRIC_8537" hidden="1">"c8537"</definedName>
    <definedName name="IQ_ECO_METRIC_8538" hidden="1">"c8538"</definedName>
    <definedName name="IQ_ECO_METRIC_8540" hidden="1">"c8540"</definedName>
    <definedName name="IQ_ECO_METRIC_8541" hidden="1">"c8541"</definedName>
    <definedName name="IQ_ECO_METRIC_8543" hidden="1">"c8543"</definedName>
    <definedName name="IQ_ECO_METRIC_8544" hidden="1">"c8544"</definedName>
    <definedName name="IQ_ECO_METRIC_8545" hidden="1">"c8545"</definedName>
    <definedName name="IQ_ECO_METRIC_8546" hidden="1">"c8546"</definedName>
    <definedName name="IQ_ECO_METRIC_8547" hidden="1">"c8547"</definedName>
    <definedName name="IQ_ECO_METRIC_8548" hidden="1">"c8548"</definedName>
    <definedName name="IQ_ECO_METRIC_8549" hidden="1">"c8549"</definedName>
    <definedName name="IQ_ECO_METRIC_8550" hidden="1">"c8550"</definedName>
    <definedName name="IQ_ECO_METRIC_8555" hidden="1">"c8555"</definedName>
    <definedName name="IQ_ECO_METRIC_8556" hidden="1">"c8556"</definedName>
    <definedName name="IQ_ECO_METRIC_8557" hidden="1">"c8557"</definedName>
    <definedName name="IQ_ECO_METRIC_8558" hidden="1">"c8558"</definedName>
    <definedName name="IQ_ECO_METRIC_8559" hidden="1">"c8559"</definedName>
    <definedName name="IQ_ECO_METRIC_8560" hidden="1">"c8560"</definedName>
    <definedName name="IQ_ECO_METRIC_8561" hidden="1">"c8561"</definedName>
    <definedName name="IQ_ECO_METRIC_8565" hidden="1">"c8565"</definedName>
    <definedName name="IQ_ECO_METRIC_8567" hidden="1">"c8567"</definedName>
    <definedName name="IQ_ECO_METRIC_8568" hidden="1">"c8568"</definedName>
    <definedName name="IQ_ECO_METRIC_8569" hidden="1">"c8569"</definedName>
    <definedName name="IQ_EPS" hidden="1">"IQ_EPS"</definedName>
    <definedName name="IQ_EPS_10K" hidden="1">"IQ_EPS_10K"</definedName>
    <definedName name="IQ_EPS_10Q" hidden="1">"IQ_EPS_10Q"</definedName>
    <definedName name="IQ_EPS_10Q1" hidden="1">"IQ_EPS_10Q1"</definedName>
    <definedName name="IQ_EPS_EST_1" hidden="1">"c189"</definedName>
    <definedName name="IQ_EST_ACT_BV_REUT" hidden="1">"c5409"</definedName>
    <definedName name="IQ_EST_ACT_BV_THOM" hidden="1">"c5153"</definedName>
    <definedName name="IQ_EST_ACT_NI_GW_THOM" hidden="1">"c5139"</definedName>
    <definedName name="IQ_EST_BV_DIFF_CIQ" hidden="1">"c4765"</definedName>
    <definedName name="IQ_EST_BV_DIFF_REUT" hidden="1">"c5433"</definedName>
    <definedName name="IQ_EST_BV_DIFF_THOM" hidden="1">"c5204"</definedName>
    <definedName name="IQ_EST_BV_SURPRISE_PERCENT_CIQ" hidden="1">"c4766"</definedName>
    <definedName name="IQ_EST_BV_SURPRISE_PERCENT_REUT" hidden="1">"c5434"</definedName>
    <definedName name="IQ_EST_BV_SURPRISE_PERCENT_THOM" hidden="1">"c5205"</definedName>
    <definedName name="IQ_EST_EPS_SURPRISE" hidden="1">"c1635"</definedName>
    <definedName name="IQ_EST_NI_GW_DIFF_THOM" hidden="1">"c5200"</definedName>
    <definedName name="IQ_EST_NI_GW_SURPRISE_PERCENT_THOM" hidden="1">"c5201"</definedName>
    <definedName name="IQ_EST_NUM_BUY_CIQ" hidden="1">"c3700"</definedName>
    <definedName name="IQ_EST_NUM_BUY_REUT" hidden="1">"c3869"</definedName>
    <definedName name="IQ_EST_NUM_BUY_THOM" hidden="1">"c5165"</definedName>
    <definedName name="IQ_EST_NUM_HOLD_CIQ" hidden="1">"c3702"</definedName>
    <definedName name="IQ_EST_NUM_HOLD_REUT" hidden="1">"c3871"</definedName>
    <definedName name="IQ_EST_NUM_HOLD_THOM" hidden="1">"c5167"</definedName>
    <definedName name="IQ_EST_NUM_OUTPERFORM_CIQ" hidden="1">"c3701"</definedName>
    <definedName name="IQ_EST_NUM_OUTPERFORM_REUT" hidden="1">"c3870"</definedName>
    <definedName name="IQ_EST_NUM_OUTPERFORM_THOM" hidden="1">"c5166"</definedName>
    <definedName name="IQ_EST_NUM_SELL_CIQ" hidden="1">"c3704"</definedName>
    <definedName name="IQ_EST_NUM_SELL_REUT" hidden="1">"c3873"</definedName>
    <definedName name="IQ_EST_NUM_SELL_THOM" hidden="1">"c5169"</definedName>
    <definedName name="IQ_EST_NUM_UNDERPERFORM_CIQ" hidden="1">"c3703"</definedName>
    <definedName name="IQ_EST_NUM_UNDERPERFORM_REUT" hidden="1">"c3872"</definedName>
    <definedName name="IQ_EST_NUM_UNDERPERFORM_THOM" hidden="1">"c5168"</definedName>
    <definedName name="IQ_EST_REUT_ACT_CAPEX" hidden="1">"c3975"</definedName>
    <definedName name="IQ_EV_OVER_REVENUE_EST" hidden="1">"c165"</definedName>
    <definedName name="IQ_EV_OVER_REVENUE_EST_1" hidden="1">"c166"</definedName>
    <definedName name="IQ_FH">100000</definedName>
    <definedName name="IQ_FHLB_DUE_AFTER_FIVE" hidden="1">"c2086"</definedName>
    <definedName name="IQ_FIN_DIV_CURRENT_PORT_DEBT_TOTAL" hidden="1">"c5524"</definedName>
    <definedName name="IQ_FIN_DIV_CURRENT_PORT_LEASES_TOTAL" hidden="1">"c5523"</definedName>
    <definedName name="IQ_FIN_DIV_DEBT_LT_TOTAL" hidden="1">"c5526"</definedName>
    <definedName name="IQ_FIN_DIV_LEASES_LT_TOTAL" hidden="1">"c5525"</definedName>
    <definedName name="IQ_FIN_DIV_NOTES_PAY_TOTAL" hidden="1">"c5522"</definedName>
    <definedName name="IQ_FIVE_PERCENT_AMOUNT" hidden="1">"c240"</definedName>
    <definedName name="IQ_FIVEPERCENT_OWNER" hidden="1">"c239"</definedName>
    <definedName name="IQ_FLOAT">"c225"</definedName>
    <definedName name="IQ_FOREIGN_BRANCHES_U.S._BANKS_LOANS_FDIC" hidden="1">"c6438"</definedName>
    <definedName name="IQ_FQ">500</definedName>
    <definedName name="IQ_FWD" hidden="1">"LTM"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WD_Q3" hidden="1">"504"</definedName>
    <definedName name="IQ_FWD_Q4" hidden="1">"505"</definedName>
    <definedName name="IQ_FWD_Q5" hidden="1">"506"</definedName>
    <definedName name="IQ_FWD_Q6" hidden="1">"507"</definedName>
    <definedName name="IQ_FWD_Q7" hidden="1">"508"</definedName>
    <definedName name="IQ_FWD1" hidden="1">"LTM"</definedName>
    <definedName name="IQ_FY">1000</definedName>
    <definedName name="IQ_FY_DATE" hidden="1">"IQ_FY_DATE"</definedName>
    <definedName name="IQ_HG_REV_OTHER_CASINO" hidden="1">"c8721"</definedName>
    <definedName name="IQ_HG_REV_OTHER_HOTEL_MOTEL" hidden="1">"c8731"</definedName>
    <definedName name="IQ_HG_REV_TOTAL_CASINO_GAMING" hidden="1">"c8723"</definedName>
    <definedName name="IQ_HG_REV_TOTAL_HOTEL_MOTEL" hidden="1">"c8732"</definedName>
    <definedName name="IQ_INSIDER_3MTH_BOUGHT" hidden="1">"c1534"</definedName>
    <definedName name="IQ_INSIDER_3MTH_NET" hidden="1">"c1535"</definedName>
    <definedName name="IQ_INSIDER_3MTH_SOLD" hidden="1">"c1533"</definedName>
    <definedName name="IQ_INSIDER_6MTH_BOUGHT" hidden="1">"c1537"</definedName>
    <definedName name="IQ_INSIDER_6MTH_NET" hidden="1">"c1538"</definedName>
    <definedName name="IQ_INSIDER_6MTH_SOLD" hidden="1">"c1536"</definedName>
    <definedName name="IQ_INSIDER_AMOUNT" hidden="1">"c238"</definedName>
    <definedName name="IQ_INSTITUTIONAL_AMOUNT" hidden="1">"c236"</definedName>
    <definedName name="IQ_INTEREST_INC_10K" hidden="1">"IQ_INTEREST_INC_10K"</definedName>
    <definedName name="IQ_INTEREST_INC_10Q" hidden="1">"IQ_INTEREST_INC_10Q"</definedName>
    <definedName name="IQ_INTEREST_INC_10Q1" hidden="1">"IQ_INTEREST_INC_10Q1"</definedName>
    <definedName name="IQ_INTEREST_LT_DEBT" hidden="1">"c2086"</definedName>
    <definedName name="IQ_LAST_EBIT_MARGIN" hidden="1">"c151"</definedName>
    <definedName name="IQ_LAST_EBITDA_MARGIN" hidden="1">"c150"</definedName>
    <definedName name="IQ_LAST_GROSS_MARGIN" hidden="1">"c149"</definedName>
    <definedName name="IQ_LAST_NET_INC_MARGIN" hidden="1">"c152"</definedName>
    <definedName name="IQ_LATEST" hidden="1">"1"</definedName>
    <definedName name="IQ_LATESTK" hidden="1">1000</definedName>
    <definedName name="IQ_LATESTKFR" hidden="1">"100"</definedName>
    <definedName name="IQ_LATESTQ" hidden="1">500</definedName>
    <definedName name="IQ_LATESTQFR" hidden="1">"50"</definedName>
    <definedName name="IQ_LISTING_CURRENCY" hidden="1">"c2127"</definedName>
    <definedName name="IQ_LTM">2000</definedName>
    <definedName name="IQ_LTM_DATE" hidden="1">"IQ_LTM_DATE"</definedName>
    <definedName name="IQ_LTMMONTH" hidden="1">120000</definedName>
    <definedName name="IQ_MC_GA_MARGIN" hidden="1">"c9930"</definedName>
    <definedName name="IQ_MC_GA_OPERATING_REV" hidden="1">"c9929"</definedName>
    <definedName name="IQ_MC_MEDICAL_EXPENSE_RATIO" hidden="1">"c9927"</definedName>
    <definedName name="IQ_MC_SGA_MARGIN" hidden="1">"c9932"</definedName>
    <definedName name="IQ_MC_SGA_OPERATING_REV" hidden="1">"c9931"</definedName>
    <definedName name="IQ_MONTH">15000</definedName>
    <definedName name="IQ_MTD" hidden="1">800000</definedName>
    <definedName name="IQ_NAMES_REVISION_DATE_" hidden="1">44644.7208217593</definedName>
    <definedName name="IQ_NAV_ACT_OR_EST" hidden="1">"c2225"</definedName>
    <definedName name="IQ_NET_INC_10K" hidden="1">"IQ_NET_INC_10K"</definedName>
    <definedName name="IQ_NET_INC_10Q" hidden="1">"IQ_NET_INC_10Q"</definedName>
    <definedName name="IQ_NET_INC_10Q1" hidden="1">"IQ_NET_INC_10Q1"</definedName>
    <definedName name="IQ_NET_INC_GROWTH_1" hidden="1">"c158"</definedName>
    <definedName name="IQ_NET_INC_GROWTH_2" hidden="1">"c162"</definedName>
    <definedName name="IQ_NI_GW_EST_THOM" hidden="1">"c5133"</definedName>
    <definedName name="IQ_NI_GW_HIGH_EST_THOM" hidden="1">"c5135"</definedName>
    <definedName name="IQ_NI_GW_LOW_EST_THOM" hidden="1">"c5136"</definedName>
    <definedName name="IQ_NI_GW_MEDIAN_EST_THOM" hidden="1">"c5134"</definedName>
    <definedName name="IQ_NI_GW_NUM_EST_THOM" hidden="1">"c5137"</definedName>
    <definedName name="IQ_NI_GW_STDDEV_EST_THOM" hidden="1">"c5138"</definedName>
    <definedName name="IQ_NTM">6000</definedName>
    <definedName name="IQ_NUM_OFFICES" hidden="1">"c2088"</definedName>
    <definedName name="IQ_NUMBER_SHAREHOLDERS_CLASSB" hidden="1">"c1969"</definedName>
    <definedName name="IQ_OG_DAILY_PRDUCTION_GROWTH_GAS" hidden="1">"c10073"</definedName>
    <definedName name="IQ_OG_DAILY_PRDUCTION_GROWTH_GAS_EQUIVALENT" hidden="1">"c10076"</definedName>
    <definedName name="IQ_OG_DAILY_PRDUCTION_GROWTH_NGL" hidden="1">"c10074"</definedName>
    <definedName name="IQ_OG_DAILY_PRDUCTION_GROWTH_OIL" hidden="1">"c10072"</definedName>
    <definedName name="IQ_OG_DAILY_PRDUCTION_GROWTH_OIL_EQUIVALENT" hidden="1">"c10075"</definedName>
    <definedName name="IQ_OG_OTHER_ADJ" hidden="1">"c1999"</definedName>
    <definedName name="IQ_OG_PRDUCTION_GROWTH_GAS" hidden="1">"c10067"</definedName>
    <definedName name="IQ_OG_PRDUCTION_GROWTH_GAS_EQUIVALENT" hidden="1">"c10070"</definedName>
    <definedName name="IQ_OG_PRDUCTION_GROWTH_NGL" hidden="1">"c10068"</definedName>
    <definedName name="IQ_OG_PRDUCTION_GROWTH_OIL" hidden="1">"c10066"</definedName>
    <definedName name="IQ_OG_PRDUCTION_GROWTH_OIL_EQUIVALENT" hidden="1">"c10069"</definedName>
    <definedName name="IQ_OG_PRDUCTION_GROWTH_TOAL" hidden="1">"c10071"</definedName>
    <definedName name="IQ_OG_TOTAL_OIL_PRODUCTON" hidden="1">"c2059"</definedName>
    <definedName name="IQ_OPENED55" hidden="1">1</definedName>
    <definedName name="IQ_OPTIONS_EXCERCISED" hidden="1">"c2116"</definedName>
    <definedName name="IQ_OUTSTANDING_FILING_DATE_TOTAL" hidden="1">"c2107"</definedName>
    <definedName name="IQ_PERCENT_FLOAT" hidden="1">"c227"</definedName>
    <definedName name="IQ_PHARMBIO_NUMBER_PROD__APPROVED_DURING_PERIOD" hidden="1">"c10027"</definedName>
    <definedName name="IQ_PHARMBIO_NUMBER_PROD__CLINICAL_DEV" hidden="1">"c10022"</definedName>
    <definedName name="IQ_PHARMBIO_NUMBER_PROD__LAUNCHED_DURING_PERIOD" hidden="1">"c10028"</definedName>
    <definedName name="IQ_PHARMBIO_NUMBER_PROD__PHASE_I" hidden="1">"c10023"</definedName>
    <definedName name="IQ_PHARMBIO_NUMBER_PROD__PHASE_II" hidden="1">"c10024"</definedName>
    <definedName name="IQ_PHARMBIO_NUMBER_PROD__PHASE_III" hidden="1">"c10025"</definedName>
    <definedName name="IQ_PHARMBIO_NUMBER_PROD__PRE_CLINICAL_TRIALS" hidden="1">"c10021"</definedName>
    <definedName name="IQ_PHARMBIO_NUMBER_PROD__PRE_REGISTRATION" hidden="1">"c10026"</definedName>
    <definedName name="IQ_PHARMBIO_NUMBER_PROD__RESEARCH_DEV" hidden="1">"c10020"</definedName>
    <definedName name="IQ_PRETAX_INC" hidden="1">"c16"</definedName>
    <definedName name="IQ_PRETAX_INC_10K" hidden="1">"IQ_PRETAX_INC_10K"</definedName>
    <definedName name="IQ_PRETAX_INC_10Q" hidden="1">"IQ_PRETAX_INC_10Q"</definedName>
    <definedName name="IQ_PRETAX_INC_10Q1" hidden="1">"IQ_PRETAX_INC_10Q1"</definedName>
    <definedName name="IQ_PRICE_OVER_EPS_EST" hidden="1">"c174"</definedName>
    <definedName name="IQ_PRICE_OVER_EPS_EST_1" hidden="1">"c175"</definedName>
    <definedName name="IQ_PRICEDATETIME" hidden="1">"IQ_PRICEDATETIME"</definedName>
    <definedName name="IQ_PRIMARY_EPS_TYPE_THOM" hidden="1">"c5297"</definedName>
    <definedName name="IQ_QTD" hidden="1">750000</definedName>
    <definedName name="IQ_REVENUE_10K" hidden="1">"IQ_REVENUE_10K"</definedName>
    <definedName name="IQ_REVENUE_10Q" hidden="1">"IQ_REVENUE_10Q"</definedName>
    <definedName name="IQ_REVENUE_10Q1" hidden="1">"IQ_REVENUE_10Q1"</definedName>
    <definedName name="IQ_REVENUE_EST_1" hidden="1">"c190"</definedName>
    <definedName name="IQ_REVENUE_GROWTH_1" hidden="1">"c155"</definedName>
    <definedName name="IQ_REVENUE_GROWTH_2" hidden="1">"c159"</definedName>
    <definedName name="IQ_SEMI_BACKLOG_UNITS" hidden="1">"c10005"</definedName>
    <definedName name="IQ_SEMI_BOOKINGS_AVG_PRICE" hidden="1">"c10002"</definedName>
    <definedName name="IQ_SEMI_BOOKINGS_UNITS" hidden="1">"c10001"</definedName>
    <definedName name="IQ_SEMI_BOOKINGS_VALUE" hidden="1">"c10003"</definedName>
    <definedName name="IQ_SEMI_BOOKINGS_VALUE_CHANGE" hidden="1">"c10004"</definedName>
    <definedName name="IQ_SHAREOUTSTANDING" hidden="1">"c1347"</definedName>
    <definedName name="IQ_SHORT_INTEREST_VOLUME" hidden="1">"c228"</definedName>
    <definedName name="IQ_SP_ISSUE_LC_ACTION" hidden="1">"c2644"</definedName>
    <definedName name="IQ_SP_ISSUE_LC_DATE" hidden="1">"c2643"</definedName>
    <definedName name="IQ_SP_ISSUE_LC_LT" hidden="1">"c2645"</definedName>
    <definedName name="IQ_STOCK_BASED_COGS_FIN" hidden="1">"c2998"</definedName>
    <definedName name="IQ_STOCK_BASED_COGS_UTIL" hidden="1">"c2997"</definedName>
    <definedName name="IQ_TARGET_PRICE_LASTCLOSE" hidden="1">"c1855"</definedName>
    <definedName name="IQ_TODAY" hidden="1">0</definedName>
    <definedName name="IQ_TOTAL_DEBT_DUE" hidden="1">"c2509"</definedName>
    <definedName name="IQ_TOTAL_PENSION_OBLIGATION" hidden="1">"c1292"</definedName>
    <definedName name="IQ_TR_BUY_ADVISORS" hidden="1">"c2387"</definedName>
    <definedName name="IQ_TR_SELL_ADVISORS" hidden="1">"c2388"</definedName>
    <definedName name="IQ_TR_SUBDEBT" hidden="1">"c2370"</definedName>
    <definedName name="IQ_TR_TARGET_ADVISORS" hidden="1">"c2386"</definedName>
    <definedName name="IQ_US_GAAP_CA" hidden="1">"c2930"</definedName>
    <definedName name="IQ_US_GAAP_CL" hidden="1">"c2932"</definedName>
    <definedName name="IQ_US_GAAP_COST_REV" hidden="1">"c2965"</definedName>
    <definedName name="IQ_US_GAAP_DO" hidden="1">"c2973"</definedName>
    <definedName name="IQ_US_GAAP_EXTRA_ACC_ITEMS" hidden="1">"c2972"</definedName>
    <definedName name="IQ_US_GAAP_INC_TAX" hidden="1">"c2975"</definedName>
    <definedName name="IQ_US_GAAP_INTEREST_EXP" hidden="1">"c2971"</definedName>
    <definedName name="IQ_US_GAAP_LIAB_LT" hidden="1">"c2933"</definedName>
    <definedName name="IQ_US_GAAP_MINORITY_INTEREST_IS" hidden="1">"c2974"</definedName>
    <definedName name="IQ_US_GAAP_NCA" hidden="1">"c2931"</definedName>
    <definedName name="IQ_US_GAAP_NI_AVAIL_EXCL" hidden="1">"c2977"</definedName>
    <definedName name="IQ_US_GAAP_OTHER_NON_OPER" hidden="1">"c2969"</definedName>
    <definedName name="IQ_US_GAAP_OTHER_OPER" hidden="1">"c2968"</definedName>
    <definedName name="IQ_US_GAAP_RD" hidden="1">"c2967"</definedName>
    <definedName name="IQ_US_GAAP_SGA" hidden="1">"c2966"</definedName>
    <definedName name="IQ_US_GAAP_TOTAL_REV" hidden="1">"c2964"</definedName>
    <definedName name="IQ_US_GAAP_TOTAL_UNUSUAL" hidden="1">"c2970"</definedName>
    <definedName name="IQ_WEEK">50000</definedName>
    <definedName name="IQ_YTD">3000</definedName>
    <definedName name="IQ_YTDMONTH" hidden="1">130000</definedName>
    <definedName name="IQB_BOOKMARK_COUNT" hidden="1">4</definedName>
    <definedName name="IQB_BOOKMARK_LOCATION_0" hidden="1">#REF!</definedName>
    <definedName name="IQB_BOOKMARK_LOCATION_1" hidden="1">#REF!</definedName>
    <definedName name="IQB_BOOKMARK_LOCATION_2" hidden="1">#REF!</definedName>
    <definedName name="IQB_BOOKMARK_LOCATION_3" hidden="1">#REF!</definedName>
    <definedName name="IQB_CURRENT_BOOKMARK" hidden="1">0</definedName>
    <definedName name="IQRA10" hidden="1">"$A$11:$A$264"</definedName>
    <definedName name="IQRA13" hidden="1">"$A$14:$A$113"</definedName>
    <definedName name="IQRA14" hidden="1">"$A$15:$A$114"</definedName>
    <definedName name="IQRA50" hidden="1">"$A$51:$A$1309"</definedName>
    <definedName name="IQRA7" hidden="1">"$A$8:$A$37"</definedName>
    <definedName name="IQRA8" hidden="1">"$A$9:$A$261"</definedName>
    <definedName name="IQRAA14" hidden="1">"$AA$15:$AA$114"</definedName>
    <definedName name="IQRAA7" hidden="1">"$AA$8:$AA$51"</definedName>
    <definedName name="IQRAC7" hidden="1">"$AC$8:$AC$95"</definedName>
    <definedName name="IQRAD11" hidden="1">"$AD$12"</definedName>
    <definedName name="IQRAD7" hidden="1">"$AD$8:$AD$54"</definedName>
    <definedName name="IQRAE7" hidden="1">"$AE$8:$AE$69"</definedName>
    <definedName name="IQRAF17" hidden="1">"$AF$18:$AF$270"</definedName>
    <definedName name="IQRAF7" hidden="1">"$AF$8:$AF$51"</definedName>
    <definedName name="IQRAG7" hidden="1">"$AG$8:$AG$56"</definedName>
    <definedName name="IQRAH7" hidden="1">"$AH$8:$AH$43"</definedName>
    <definedName name="IQRAI15" hidden="1">"$AI$16:$AI$39"</definedName>
    <definedName name="IQRAI7" hidden="1">"$AI$8:$AI$34"</definedName>
    <definedName name="IQRAJ7" hidden="1">"$AJ$8:$AJ$35"</definedName>
    <definedName name="IQRAK7" hidden="1">"$AK$8:$AK$18"</definedName>
    <definedName name="IQRAL7" hidden="1">"$AL$8:$AL$20"</definedName>
    <definedName name="IQRAN15" hidden="1">"$AN$16:$AN$519"</definedName>
    <definedName name="IQRAP89" hidden="1">"$AP$90:$AP$97"</definedName>
    <definedName name="IQRAR89" hidden="1">"$AR$90:$AR$97"</definedName>
    <definedName name="IQRASXRIOBT12" hidden="1">#REF!</definedName>
    <definedName name="IQRAT89" hidden="1">"$AT$90:$AT$97"</definedName>
    <definedName name="IQRAV89" hidden="1">"$AV$90:$AV$97"</definedName>
    <definedName name="IQRAX89" hidden="1">"$AX$90:$AX$97"</definedName>
    <definedName name="IQRB13" hidden="1">"$B$14:$B$113"</definedName>
    <definedName name="IQRB14" hidden="1">"$B$15:$B$114"</definedName>
    <definedName name="IQRB20" hidden="1">"$B$21:$B$25"</definedName>
    <definedName name="IQRB32" hidden="1">"$B$33:$B$37"</definedName>
    <definedName name="IQRB7TickerBT12" hidden="1">#REF!</definedName>
    <definedName name="IQRB8" hidden="1">"$B$9:$B$261"</definedName>
    <definedName name="IQRBC13" hidden="1">"$BC$14:$BC$17"</definedName>
    <definedName name="IQRBC14" hidden="1">"$BC$15:$BC$18"</definedName>
    <definedName name="IQRBondholdersE11" hidden="1">#REF!</definedName>
    <definedName name="IQRBondholdersG3" hidden="1">#REF!</definedName>
    <definedName name="IQRBondholdersG4" hidden="1">#REF!</definedName>
    <definedName name="IQRBondholdersL3" hidden="1">#REF!</definedName>
    <definedName name="IQRBondholdersL4" hidden="1">#REF!</definedName>
    <definedName name="IQRBondholdersL5" hidden="1">#REF!</definedName>
    <definedName name="IQRBondholdersL6" hidden="1">#REF!</definedName>
    <definedName name="IQRBondholdersN3" hidden="1">#REF!</definedName>
    <definedName name="IQRBondholdersN4" hidden="1">#REF!</definedName>
    <definedName name="IQRBondholdersR3" hidden="1">#REF!</definedName>
    <definedName name="IQRBondholdersR4" hidden="1">#REF!</definedName>
    <definedName name="IQRBondholdersS3" hidden="1">#REF!</definedName>
    <definedName name="IQRBondholdersS4" hidden="1">#REF!</definedName>
    <definedName name="IQRBondholdersT4" hidden="1">#REF!</definedName>
    <definedName name="IQRBondPricesCZ6" hidden="1">#REF!</definedName>
    <definedName name="IQRBondPricesL3" hidden="1">#REF!</definedName>
    <definedName name="IQRBondPricesL5" hidden="1">#REF!</definedName>
    <definedName name="IQRBondPricesL6" hidden="1">#REF!</definedName>
    <definedName name="IQRBOVESPAABEV3BQ12" hidden="1">#REF!</definedName>
    <definedName name="IQRBOVESPAVALE5BQ12" hidden="1">#REF!</definedName>
    <definedName name="IQRBU8" hidden="1">"$BU$9:$BU$269"</definedName>
    <definedName name="IQRC20" hidden="1">"$C$21:$C$25"</definedName>
    <definedName name="IQRC48" hidden="1">"$C$49"</definedName>
    <definedName name="IQRC8" hidden="1">"$C$9:$C$261"</definedName>
    <definedName name="IQRCIQAdvisorsBU7" hidden="1">#REF!</definedName>
    <definedName name="IQRCIQCompsC9" hidden="1">#REF!</definedName>
    <definedName name="IQRCIQCompsH28" hidden="1">#REF!</definedName>
    <definedName name="IQRCIQCompsH6" hidden="1">#REF!</definedName>
    <definedName name="IQRCIQCompsH7" hidden="1">#REF!</definedName>
    <definedName name="IQRCIQCurrentInvestmentsB3" hidden="1">#REF!</definedName>
    <definedName name="IQRCIQCurrentInvestmentsB5" hidden="1">#REF!</definedName>
    <definedName name="IQRCIQCurrentInvestmentsB60" hidden="1">#REF!</definedName>
    <definedName name="IQRCIQCurrentInvestmentsC3" hidden="1">#REF!</definedName>
    <definedName name="IQRCIQCurrentInvestmentsC5" hidden="1">#REF!</definedName>
    <definedName name="IQRCIQCurrentInvestmentsK3" hidden="1">#REF!</definedName>
    <definedName name="IQRCIQCurrentInvestmentsL3" hidden="1">#REF!</definedName>
    <definedName name="IQRCIQCurrentInvestmentsM2" hidden="1">#REF!</definedName>
    <definedName name="IQRCIQCurrentInvestmentsM3" hidden="1">#REF!</definedName>
    <definedName name="IQRCIQCurrentInvestmentsN3" hidden="1">#REF!</definedName>
    <definedName name="IQRCIQCurrentInvestmentsO3" hidden="1">#REF!</definedName>
    <definedName name="IQRCIQCurrentInvestmentsP3" hidden="1">#REF!</definedName>
    <definedName name="IQRCIQCurrentInvestmentsQ3" hidden="1">#REF!</definedName>
    <definedName name="IQRCIQCurrentInvestmentsR3" hidden="1">#REF!</definedName>
    <definedName name="IQRCIQCurrentInvestmentsS3" hidden="1">#REF!</definedName>
    <definedName name="IQRCIQCurrentInvestmentsT3" hidden="1">#REF!</definedName>
    <definedName name="IQRCIQFinancialsS10" hidden="1">#REF!</definedName>
    <definedName name="IQRCIQFinancialsS25" hidden="1">#REF!</definedName>
    <definedName name="IQRCIQFinancialsS9" hidden="1">#REF!</definedName>
    <definedName name="IQRCIQFinancialsT10" hidden="1">#REF!</definedName>
    <definedName name="IQRCIQFinancialsT25" hidden="1">#REF!</definedName>
    <definedName name="IQRCIQFinancialsU10" hidden="1">#REF!</definedName>
    <definedName name="IQRCIQFinancialsU25" hidden="1">#REF!</definedName>
    <definedName name="IQRCIQFinancialsV10" hidden="1">#REF!</definedName>
    <definedName name="IQRCIQFinancialsV25" hidden="1">#REF!</definedName>
    <definedName name="IQRCIQFinancialsW10" hidden="1">#REF!</definedName>
    <definedName name="IQRCIQFinancialsW25" hidden="1">#REF!</definedName>
    <definedName name="IQRCIQFinancialsX10" hidden="1">#REF!</definedName>
    <definedName name="IQRCIQFinancialsX25" hidden="1">#REF!</definedName>
    <definedName name="IQRCIQFinancialsY10" hidden="1">#REF!</definedName>
    <definedName name="IQRCIQFinancialsY25" hidden="1">#REF!</definedName>
    <definedName name="IQRCIQFinancialsZ10" hidden="1">#REF!</definedName>
    <definedName name="IQRCIQFinancialsZ25" hidden="1">#REF!</definedName>
    <definedName name="IQRCIQKeyDevelopmentsC7" hidden="1">#REF!</definedName>
    <definedName name="IQRCIQLitigationsC7" hidden="1">#REF!</definedName>
    <definedName name="IQRCIQMATransactionsA5" hidden="1">#REF!</definedName>
    <definedName name="IQRCIQMATransactionsA6" hidden="1">#REF!</definedName>
    <definedName name="IQRCIQMATransactionsB6" hidden="1">#REF!</definedName>
    <definedName name="IQRCIQOwnershipA5" hidden="1">#REF!</definedName>
    <definedName name="IQRCIQOwnershipE6" hidden="1">#REF!</definedName>
    <definedName name="IQRCIQOwnershipF6" hidden="1">#REF!</definedName>
    <definedName name="IQRCIQOwnershipG6" hidden="1">#REF!</definedName>
    <definedName name="IQRCIQOwnershipH6" hidden="1">#REF!</definedName>
    <definedName name="IQRCIQOwnershipM5" hidden="1">#REF!</definedName>
    <definedName name="IQRCIQOwnershipM6" hidden="1">#REF!</definedName>
    <definedName name="IQRCIQOwnershipN5" hidden="1">#REF!</definedName>
    <definedName name="IQRCIQOwnershipN6" hidden="1">#REF!</definedName>
    <definedName name="IQRCIQOwnershipO5" hidden="1">#REF!</definedName>
    <definedName name="IQRCIQOwnershipP5" hidden="1">#REF!</definedName>
    <definedName name="IQRCIQProfessionalsB16" hidden="1">#REF!</definedName>
    <definedName name="IQRCIQProfessionalsB3" hidden="1">#REF!</definedName>
    <definedName name="IQRCIQProfessionalsC16" hidden="1">#REF!</definedName>
    <definedName name="IQRCIQProfessionalsC3" hidden="1">#REF!</definedName>
    <definedName name="IQRCIQProfessionalsD16" hidden="1">#REF!</definedName>
    <definedName name="IQRCIQProfessionalsD3" hidden="1">#REF!</definedName>
    <definedName name="IQRCIQProfessionalsE16" hidden="1">#REF!</definedName>
    <definedName name="IQRCIQProfessionalsE3" hidden="1">#REF!</definedName>
    <definedName name="IQRCIQRevisionB7" hidden="1">#REF!</definedName>
    <definedName name="IQRCIQRevisionI7" hidden="1">#REF!</definedName>
    <definedName name="IQRCIQRevisionS7" hidden="1">#REF!</definedName>
    <definedName name="IQRCIQSegmentsB10" hidden="1">#REF!</definedName>
    <definedName name="IQRCIQSegmentsB24" hidden="1">#REF!</definedName>
    <definedName name="IQRCIQSegmentsB25" hidden="1">#REF!</definedName>
    <definedName name="IQRCIQSegmentsB9" hidden="1">#REF!</definedName>
    <definedName name="IQRCIQSegmentsC10" hidden="1">#REF!</definedName>
    <definedName name="IQRCIQSegmentsC24" hidden="1">#REF!</definedName>
    <definedName name="IQRCIQSegmentsC25" hidden="1">#REF!</definedName>
    <definedName name="IQRCIQSegmentsC9" hidden="1">#REF!</definedName>
    <definedName name="IQRCIQSegmentsD10" hidden="1">#REF!</definedName>
    <definedName name="IQRCIQSegmentsD24" hidden="1">#REF!</definedName>
    <definedName name="IQRCIQSegmentsD25" hidden="1">#REF!</definedName>
    <definedName name="IQRCIQSegmentsD9" hidden="1">#REF!</definedName>
    <definedName name="IQRCIQSegmentsE10" hidden="1">#REF!</definedName>
    <definedName name="IQRCIQSegmentsE24" hidden="1">#REF!</definedName>
    <definedName name="IQRCIQSegmentsE25" hidden="1">#REF!</definedName>
    <definedName name="IQRCIQSegmentsE9" hidden="1">#REF!</definedName>
    <definedName name="IQRCIQSegmentsF10" hidden="1">#REF!</definedName>
    <definedName name="IQRCIQSegmentsF24" hidden="1">#REF!</definedName>
    <definedName name="IQRCIQSegmentsF25" hidden="1">#REF!</definedName>
    <definedName name="IQRCIQSegmentsF9" hidden="1">#REF!</definedName>
    <definedName name="IQRCIQSegmentsG10" hidden="1">#REF!</definedName>
    <definedName name="IQRCIQSegmentsG24" hidden="1">#REF!</definedName>
    <definedName name="IQRCIQSegmentsG25" hidden="1">#REF!</definedName>
    <definedName name="IQRCIQSegmentsG9" hidden="1">#REF!</definedName>
    <definedName name="IQRCIQSegmentsH10" hidden="1">#REF!</definedName>
    <definedName name="IQRCIQSegmentsH24" hidden="1">#REF!</definedName>
    <definedName name="IQRCIQSegmentsH25" hidden="1">#REF!</definedName>
    <definedName name="IQRCIQSegmentsH9" hidden="1">#REF!</definedName>
    <definedName name="IQRCIQSegmentsI10" hidden="1">#REF!</definedName>
    <definedName name="IQRCIQSegmentsI24" hidden="1">#REF!</definedName>
    <definedName name="IQRCIQSegmentsI25" hidden="1">#REF!</definedName>
    <definedName name="IQRCIQSegmentsI9" hidden="1">#REF!</definedName>
    <definedName name="IQRCIQSegmentsP53" hidden="1">#REF!</definedName>
    <definedName name="IQRCIQSubsidiariesB3" hidden="1">#REF!</definedName>
    <definedName name="IQRCIQSubsidiariesC3" hidden="1">#REF!</definedName>
    <definedName name="IQRCIQThunkC11" hidden="1">CIQThunk!$C$12:$C$16</definedName>
    <definedName name="IQRCIQThunkC34" hidden="1">CIQThunk!$C$35:$C$44</definedName>
    <definedName name="IQRCitrixIndustryPeersCU3" hidden="1">'[1]WC Analysis'!#REF!</definedName>
    <definedName name="IQRCJ8" hidden="1">"$CJ$9:$CJ$60"</definedName>
    <definedName name="IQRCompaniesH100" hidden="1">[2]Companies!$I$100:$M$100</definedName>
    <definedName name="IQRCompaniesH1000" hidden="1">[3]Companies!$I$1000</definedName>
    <definedName name="IQRCompaniesH1001" hidden="1">[3]Companies!$I$1001:$M$1001</definedName>
    <definedName name="IQRCompaniesH1002" hidden="1">[3]Companies!$I$1002:$L$1002</definedName>
    <definedName name="IQRCompaniesH1003" hidden="1">[3]Companies!$I$1003</definedName>
    <definedName name="IQRCompaniesH1004" hidden="1">[3]Companies!$I$1004:$K$1004</definedName>
    <definedName name="IQRCompaniesH1005" hidden="1">[3]Companies!$I$1005:$M$1005</definedName>
    <definedName name="IQRCompaniesH1006" hidden="1">[3]Companies!$I$1006:$M$1006</definedName>
    <definedName name="IQRCompaniesH1007" hidden="1">[3]Companies!$I$1007</definedName>
    <definedName name="IQRCompaniesH1008" hidden="1">[3]Companies!$I$1008:$M$1008</definedName>
    <definedName name="IQRCompaniesH1009" hidden="1">[3]Companies!$I$1009:$M$1009</definedName>
    <definedName name="IQRCompaniesH101" hidden="1">[2]Companies!$I$101:$J$101</definedName>
    <definedName name="IQRCompaniesH1010" hidden="1">[3]Companies!$I$1010</definedName>
    <definedName name="IQRCompaniesH1011" hidden="1">[3]Companies!$I$1011</definedName>
    <definedName name="IQRCompaniesH1012" hidden="1">[3]Companies!$I$1012:$L$1012</definedName>
    <definedName name="IQRCompaniesH1013" hidden="1">[3]Companies!$I$1013</definedName>
    <definedName name="IQRCompaniesH1014" hidden="1">[3]Companies!$I$1014:$M$1014</definedName>
    <definedName name="IQRCompaniesH1015" hidden="1">[3]Companies!$I$1015</definedName>
    <definedName name="IQRCompaniesH1016" hidden="1">[3]Companies!$I$1016:$J$1016</definedName>
    <definedName name="IQRCompaniesH1017" hidden="1">[3]Companies!$I$1017:$J$1017</definedName>
    <definedName name="IQRCompaniesH1018" hidden="1">[3]Companies!$I$1018</definedName>
    <definedName name="IQRCompaniesH1019" hidden="1">[3]Companies!$I$1019:$J$1019</definedName>
    <definedName name="IQRCompaniesH102" hidden="1">[2]Companies!$I$102:$M$102</definedName>
    <definedName name="IQRCompaniesH1020" hidden="1">[3]Companies!$I$1020:$M$1020</definedName>
    <definedName name="IQRCompaniesH1021" hidden="1">[3]Companies!$I$1021:$L$1021</definedName>
    <definedName name="IQRCompaniesH1022" hidden="1">[3]Companies!$I$1022:$M$1022</definedName>
    <definedName name="IQRCompaniesH1023" hidden="1">[3]Companies!$I$1023</definedName>
    <definedName name="IQRCompaniesH1024" hidden="1">[3]Companies!$I$1024:$M$1024</definedName>
    <definedName name="IQRCompaniesH1025" hidden="1">[3]Companies!$I$1025:$J$1025</definedName>
    <definedName name="IQRCompaniesH1026" hidden="1">[3]Companies!$I$1026:$M$1026</definedName>
    <definedName name="IQRCompaniesH1027" hidden="1">[3]Companies!$I$1027:$M$1027</definedName>
    <definedName name="IQRCompaniesH1028" hidden="1">[3]Companies!$I$1028:$J$1028</definedName>
    <definedName name="IQRCompaniesH1029" hidden="1">[3]Companies!$I$1029:$L$1029</definedName>
    <definedName name="IQRCompaniesH103" hidden="1">[2]Companies!$I$103:$M$103</definedName>
    <definedName name="IQRCompaniesH1030" hidden="1">[3]Companies!$I$1030:$J$1030</definedName>
    <definedName name="IQRCompaniesH1031" hidden="1">[3]Companies!$I$1031:$M$1031</definedName>
    <definedName name="IQRCompaniesH1032" hidden="1">[3]Companies!$I$1032</definedName>
    <definedName name="IQRCompaniesH1033" hidden="1">[3]Companies!$I$1033:$K$1033</definedName>
    <definedName name="IQRCompaniesH1034" hidden="1">[3]Companies!$I$1034</definedName>
    <definedName name="IQRCompaniesH1035" hidden="1">[3]Companies!$I$1035</definedName>
    <definedName name="IQRCompaniesH1036" hidden="1">[3]Companies!$I$1036:$M$1036</definedName>
    <definedName name="IQRCompaniesH1037" hidden="1">[3]Companies!$I$1037:$L$1037</definedName>
    <definedName name="IQRCompaniesH1038" hidden="1">[3]Companies!$I$1038</definedName>
    <definedName name="IQRCompaniesH1039" hidden="1">[3]Companies!$I$1039:$M$1039</definedName>
    <definedName name="IQRCompaniesH104" hidden="1">[2]Companies!$I$104:$M$104</definedName>
    <definedName name="IQRCompaniesH1040" hidden="1">[3]Companies!$I$1040</definedName>
    <definedName name="IQRCompaniesH1041" hidden="1">[3]Companies!$I$1041</definedName>
    <definedName name="IQRCompaniesH1042" hidden="1">[3]Companies!$I$1042:$J$1042</definedName>
    <definedName name="IQRCompaniesH1043" hidden="1">[3]Companies!$I$1043</definedName>
    <definedName name="IQRCompaniesH1044" hidden="1">[3]Companies!$I$1044</definedName>
    <definedName name="IQRCompaniesH1045" hidden="1">[3]Companies!$I$1045:$M$1045</definedName>
    <definedName name="IQRCompaniesH1046" hidden="1">[3]Companies!$I$1046:$M$1046</definedName>
    <definedName name="IQRCompaniesH1047" hidden="1">[3]Companies!$I$1047:$K$1047</definedName>
    <definedName name="IQRCompaniesH1048" hidden="1">[3]Companies!$I$1048:$M$1048</definedName>
    <definedName name="IQRCompaniesH1049" hidden="1">[3]Companies!$I$1049:$M$1049</definedName>
    <definedName name="IQRCompaniesH105" hidden="1">[2]Companies!$I$105:$M$105</definedName>
    <definedName name="IQRCompaniesH1050" hidden="1">[3]Companies!$I$1050:$J$1050</definedName>
    <definedName name="IQRCompaniesH1051" hidden="1">[3]Companies!$I$1051:$M$1051</definedName>
    <definedName name="IQRCompaniesH1052" hidden="1">[3]Companies!$I$1052:$J$1052</definedName>
    <definedName name="IQRCompaniesH1053" hidden="1">[3]Companies!$I$1053:$M$1053</definedName>
    <definedName name="IQRCompaniesH1054" hidden="1">[3]Companies!$I$1054:$J$1054</definedName>
    <definedName name="IQRCompaniesH1055" hidden="1">[3]Companies!$I$1055</definedName>
    <definedName name="IQRCompaniesH1056" hidden="1">[3]Companies!$I$1056:$M$1056</definedName>
    <definedName name="IQRCompaniesH1057" hidden="1">[3]Companies!$I$1057</definedName>
    <definedName name="IQRCompaniesH1058" hidden="1">[3]Companies!$I$1058:$M$1058</definedName>
    <definedName name="IQRCompaniesH1059" hidden="1">[3]Companies!$I$1059:$M$1059</definedName>
    <definedName name="IQRCompaniesH106" hidden="1">[2]Companies!$I$106</definedName>
    <definedName name="IQRCompaniesH1060" hidden="1">[3]Companies!$I$1060</definedName>
    <definedName name="IQRCompaniesH1061" hidden="1">[3]Companies!$I$1061:$L$1061</definedName>
    <definedName name="IQRCompaniesH1062" hidden="1">[3]Companies!$I$1062</definedName>
    <definedName name="IQRCompaniesH1063" hidden="1">[3]Companies!$I$1063:$K$1063</definedName>
    <definedName name="IQRCompaniesH1064" hidden="1">[3]Companies!$I$1064:$M$1064</definedName>
    <definedName name="IQRCompaniesH1065" hidden="1">[3]Companies!$I$1065:$M$1065</definedName>
    <definedName name="IQRCompaniesH1066" hidden="1">[3]Companies!$I$1066</definedName>
    <definedName name="IQRCompaniesH1067" hidden="1">[3]Companies!$I$1067:$M$1067</definedName>
    <definedName name="IQRCompaniesH1068" hidden="1">[3]Companies!$I$1068</definedName>
    <definedName name="IQRCompaniesH1069" hidden="1">[3]Companies!$I$1069:$J$1069</definedName>
    <definedName name="IQRCompaniesH107" hidden="1">[2]Companies!$I$107:$J$107</definedName>
    <definedName name="IQRCompaniesH1070" hidden="1">[3]Companies!$I$1070:$K$1070</definedName>
    <definedName name="IQRCompaniesH1071" hidden="1">[3]Companies!$I$1071:$J$1071</definedName>
    <definedName name="IQRCompaniesH1072" hidden="1">[3]Companies!$I$1072:$M$1072</definedName>
    <definedName name="IQRCompaniesH1073" hidden="1">[3]Companies!$I$1073</definedName>
    <definedName name="IQRCompaniesH1074" hidden="1">[3]Companies!$I$1074:$M$1074</definedName>
    <definedName name="IQRCompaniesH1075" hidden="1">[3]Companies!$I$1075:$J$1075</definedName>
    <definedName name="IQRCompaniesH1076" hidden="1">[3]Companies!$I$1076:$M$1076</definedName>
    <definedName name="IQRCompaniesH1077" hidden="1">[3]Companies!$I$1077:$M$1077</definedName>
    <definedName name="IQRCompaniesH1078" hidden="1">[3]Companies!$I$1078:$K$1078</definedName>
    <definedName name="IQRCompaniesH1079" hidden="1">[3]Companies!$I$1079</definedName>
    <definedName name="IQRCompaniesH108" hidden="1">[2]Companies!$I$108:$M$108</definedName>
    <definedName name="IQRCompaniesH1080" hidden="1">[3]Companies!$I$1080:$M$1080</definedName>
    <definedName name="IQRCompaniesH1081" hidden="1">[3]Companies!$I$1081:$M$1081</definedName>
    <definedName name="IQRCompaniesH1082" hidden="1">[3]Companies!$I$1082:$J$1082</definedName>
    <definedName name="IQRCompaniesH1083" hidden="1">[3]Companies!$I$1083:$M$1083</definedName>
    <definedName name="IQRCompaniesH1084" hidden="1">[3]Companies!$I$1084</definedName>
    <definedName name="IQRCompaniesH1085" hidden="1">[3]Companies!$I$1085:$J$1085</definedName>
    <definedName name="IQRCompaniesH1086" hidden="1">[3]Companies!$I$1086</definedName>
    <definedName name="IQRCompaniesH1087" hidden="1">[3]Companies!$I$1087:$K$1087</definedName>
    <definedName name="IQRCompaniesH1088" hidden="1">[3]Companies!$I$1088:$M$1088</definedName>
    <definedName name="IQRCompaniesH1089" hidden="1">[3]Companies!$I$1089:$M$1089</definedName>
    <definedName name="IQRCompaniesH109" hidden="1">[2]Companies!$I$109:$J$109</definedName>
    <definedName name="IQRCompaniesH1090" hidden="1">[3]Companies!$I$1090</definedName>
    <definedName name="IQRCompaniesH1091" hidden="1">[3]Companies!$I$1091:$M$1091</definedName>
    <definedName name="IQRCompaniesH1092" hidden="1">[3]Companies!$I$1092</definedName>
    <definedName name="IQRCompaniesH1093" hidden="1">[3]Companies!$I$1093:$J$1093</definedName>
    <definedName name="IQRCompaniesH1094" hidden="1">[3]Companies!$I$1094</definedName>
    <definedName name="IQRCompaniesH1095" hidden="1">[3]Companies!$I$1095</definedName>
    <definedName name="IQRCompaniesH1096" hidden="1">[3]Companies!$I$1096:$M$1096</definedName>
    <definedName name="IQRCompaniesH1097" hidden="1">[3]Companies!$I$1097</definedName>
    <definedName name="IQRCompaniesH1098" hidden="1">[3]Companies!$I$1098:$L$1098</definedName>
    <definedName name="IQRCompaniesH1099" hidden="1">[3]Companies!$I$1099</definedName>
    <definedName name="IQRCompaniesH110" hidden="1">[2]Companies!$I$110:$K$110</definedName>
    <definedName name="IQRCompaniesH1100" hidden="1">[3]Companies!$I$1100:$M$1100</definedName>
    <definedName name="IQRCompaniesH1101" hidden="1">[3]Companies!$I$1101</definedName>
    <definedName name="IQRCompaniesH1102" hidden="1">[3]Companies!$I$1102</definedName>
    <definedName name="IQRCompaniesH1103" hidden="1">[3]Companies!$I$1103</definedName>
    <definedName name="IQRCompaniesH1104" hidden="1">[3]Companies!$I$1104</definedName>
    <definedName name="IQRCompaniesH1105" hidden="1">[3]Companies!$I$1105</definedName>
    <definedName name="IQRCompaniesH1106" hidden="1">[3]Companies!$I$1106:$M$1106</definedName>
    <definedName name="IQRCompaniesH1107" hidden="1">[3]Companies!$I$1107:$M$1107</definedName>
    <definedName name="IQRCompaniesH1108" hidden="1">[3]Companies!$I$1108:$J$1108</definedName>
    <definedName name="IQRCompaniesH1109" hidden="1">[3]Companies!$I$1109:$K$1109</definedName>
    <definedName name="IQRCompaniesH111" hidden="1">[2]Companies!$I$111:$M$111</definedName>
    <definedName name="IQRCompaniesH1110" hidden="1">[3]Companies!$I$1110:$M$1110</definedName>
    <definedName name="IQRCompaniesH1111" hidden="1">[3]Companies!$I$1111:$J$1111</definedName>
    <definedName name="IQRCompaniesH1112" hidden="1">[3]Companies!$I$1112</definedName>
    <definedName name="IQRCompaniesH1113" hidden="1">[3]Companies!$I$1113</definedName>
    <definedName name="IQRCompaniesH1114" hidden="1">[3]Companies!$I$1114:$J$1114</definedName>
    <definedName name="IQRCompaniesH1115" hidden="1">[3]Companies!$I$1115:$M$1115</definedName>
    <definedName name="IQRCompaniesH1116" hidden="1">[3]Companies!$I$1116:$J$1116</definedName>
    <definedName name="IQRCompaniesH1117" hidden="1">[3]Companies!$I$1117:$J$1117</definedName>
    <definedName name="IQRCompaniesH1118" hidden="1">[3]Companies!$I$1118</definedName>
    <definedName name="IQRCompaniesH1119" hidden="1">[3]Companies!$I$1119:$L$1119</definedName>
    <definedName name="IQRCompaniesH112" hidden="1">[2]Companies!$I$112</definedName>
    <definedName name="IQRCompaniesH1120" hidden="1">[3]Companies!$I$1120</definedName>
    <definedName name="IQRCompaniesH1121" hidden="1">[3]Companies!$I$1121</definedName>
    <definedName name="IQRCompaniesH1122" hidden="1">[3]Companies!$I$1122:$K$1122</definedName>
    <definedName name="IQRCompaniesH1123" hidden="1">[3]Companies!$I$1123:$J$1123</definedName>
    <definedName name="IQRCompaniesH1124" hidden="1">[3]Companies!$I$1124</definedName>
    <definedName name="IQRCompaniesH1125" hidden="1">[3]Companies!$I$1125</definedName>
    <definedName name="IQRCompaniesH1126" hidden="1">[3]Companies!$I$1126</definedName>
    <definedName name="IQRCompaniesH1127" hidden="1">[3]Companies!$I$1127</definedName>
    <definedName name="IQRCompaniesH1128" hidden="1">[3]Companies!$I$1128:$M$1128</definedName>
    <definedName name="IQRCompaniesH1129" hidden="1">[3]Companies!$I$1129</definedName>
    <definedName name="IQRCompaniesH113" hidden="1">[3]Companies!$I$113:$M$113</definedName>
    <definedName name="IQRCompaniesH1130" hidden="1">[3]Companies!$I$1130</definedName>
    <definedName name="IQRCompaniesH1131" hidden="1">[3]Companies!$I$1131:$K$1131</definedName>
    <definedName name="IQRCompaniesH1132" hidden="1">[3]Companies!$I$1132</definedName>
    <definedName name="IQRCompaniesH1133" hidden="1">[3]Companies!$I$1133</definedName>
    <definedName name="IQRCompaniesH1134" hidden="1">[3]Companies!$I$1134:$L$1134</definedName>
    <definedName name="IQRCompaniesH1135" hidden="1">[3]Companies!$I$1135</definedName>
    <definedName name="IQRCompaniesH1136" hidden="1">[3]Companies!$I$1136</definedName>
    <definedName name="IQRCompaniesH1137" hidden="1">[3]Companies!$I$1137:$J$1137</definedName>
    <definedName name="IQRCompaniesH1138" hidden="1">[3]Companies!$I$1138:$J$1138</definedName>
    <definedName name="IQRCompaniesH1139" hidden="1">[3]Companies!$I$1139:$L$1139</definedName>
    <definedName name="IQRCompaniesH114" hidden="1">[3]Companies!$I$114</definedName>
    <definedName name="IQRCompaniesH1140" hidden="1">[3]Companies!$I$1140</definedName>
    <definedName name="IQRCompaniesH1141" hidden="1">[3]Companies!$I$1141:$M$1141</definedName>
    <definedName name="IQRCompaniesH1142" hidden="1">[3]Companies!$I$1142:$K$1142</definedName>
    <definedName name="IQRCompaniesH1143" hidden="1">[3]Companies!$I$1143</definedName>
    <definedName name="IQRCompaniesH1144" hidden="1">[3]Companies!$I$1144</definedName>
    <definedName name="IQRCompaniesH1145" hidden="1">[3]Companies!$I$1145</definedName>
    <definedName name="IQRCompaniesH1146" hidden="1">[3]Companies!$I$1146:$L$1146</definedName>
    <definedName name="IQRCompaniesH1147" hidden="1">[3]Companies!$I$1147:$M$1147</definedName>
    <definedName name="IQRCompaniesH1148" hidden="1">[3]Companies!$I$1148</definedName>
    <definedName name="IQRCompaniesH1149" hidden="1">[3]Companies!$I$1149:$J$1149</definedName>
    <definedName name="IQRCompaniesH115" hidden="1">[3]Companies!$I$115:$M$115</definedName>
    <definedName name="IQRCompaniesH1150" hidden="1">[3]Companies!$I$1150:$M$1150</definedName>
    <definedName name="IQRCompaniesH1151" hidden="1">[3]Companies!$I$1151</definedName>
    <definedName name="IQRCompaniesH1152" hidden="1">[3]Companies!$I$1152:$M$1152</definedName>
    <definedName name="IQRCompaniesH1153" hidden="1">[3]Companies!$I$1153</definedName>
    <definedName name="IQRCompaniesH1154" hidden="1">[3]Companies!$I$1154:$M$1154</definedName>
    <definedName name="IQRCompaniesH1155" hidden="1">[3]Companies!$I$1155:$J$1155</definedName>
    <definedName name="IQRCompaniesH1156" hidden="1">[3]Companies!$I$1156:$M$1156</definedName>
    <definedName name="IQRCompaniesH1157" hidden="1">[3]Companies!$I$1157</definedName>
    <definedName name="IQRCompaniesH1158" hidden="1">[3]Companies!$I$1158:$J$1158</definedName>
    <definedName name="IQRCompaniesH1159" hidden="1">[3]Companies!$I$1159:$M$1159</definedName>
    <definedName name="IQRCompaniesH116" hidden="1">[3]Companies!$I$116:$M$116</definedName>
    <definedName name="IQRCompaniesH1160" hidden="1">[3]Companies!$I$1160:$M$1160</definedName>
    <definedName name="IQRCompaniesH1161" hidden="1">[3]Companies!$I$1161</definedName>
    <definedName name="IQRCompaniesH1162" hidden="1">[3]Companies!$I$1162:$J$1162</definedName>
    <definedName name="IQRCompaniesH1163" hidden="1">[3]Companies!$I$1163:$J$1163</definedName>
    <definedName name="IQRCompaniesH1164" hidden="1">[3]Companies!$I$1164</definedName>
    <definedName name="IQRCompaniesH1165" hidden="1">[3]Companies!$I$1165:$K$1165</definedName>
    <definedName name="IQRCompaniesH1166" hidden="1">[3]Companies!$I$1166:$J$1166</definedName>
    <definedName name="IQRCompaniesH1167" hidden="1">[3]Companies!$I$1167</definedName>
    <definedName name="IQRCompaniesH1168" hidden="1">[3]Companies!$I$1168</definedName>
    <definedName name="IQRCompaniesH1169" hidden="1">[3]Companies!$I$1169:$M$1169</definedName>
    <definedName name="IQRCompaniesH117" hidden="1">[3]Companies!$I$117</definedName>
    <definedName name="IQRCompaniesH1170" hidden="1">[3]Companies!$I$1170</definedName>
    <definedName name="IQRCompaniesH1171" hidden="1">[3]Companies!$I$1171</definedName>
    <definedName name="IQRCompaniesH1172" hidden="1">[3]Companies!$I$1172:$K$1172</definedName>
    <definedName name="IQRCompaniesH1173" hidden="1">[3]Companies!$I$1173:$M$1173</definedName>
    <definedName name="IQRCompaniesH1174" hidden="1">[3]Companies!$I$1174:$M$1174</definedName>
    <definedName name="IQRCompaniesH1175" hidden="1">[3]Companies!$I$1175:$M$1175</definedName>
    <definedName name="IQRCompaniesH1176" hidden="1">[3]Companies!$I$1176:$M$1176</definedName>
    <definedName name="IQRCompaniesH1177" hidden="1">[3]Companies!$I$1177:$M$1177</definedName>
    <definedName name="IQRCompaniesH1178" hidden="1">[3]Companies!$I$1178:$M$1178</definedName>
    <definedName name="IQRCompaniesH1179" hidden="1">[3]Companies!$I$1179</definedName>
    <definedName name="IQRCompaniesH118" hidden="1">[3]Companies!$I$118:$M$118</definedName>
    <definedName name="IQRCompaniesH1180" hidden="1">[3]Companies!$I$1180</definedName>
    <definedName name="IQRCompaniesH1181" hidden="1">[3]Companies!$I$1181:$L$1181</definedName>
    <definedName name="IQRCompaniesH1182" hidden="1">[3]Companies!$I$1182</definedName>
    <definedName name="IQRCompaniesH1183" hidden="1">[3]Companies!$I$1183:$K$1183</definedName>
    <definedName name="IQRCompaniesH1184" hidden="1">[3]Companies!$I$1184</definedName>
    <definedName name="IQRCompaniesH1185" hidden="1">[3]Companies!$I$1185:$M$1185</definedName>
    <definedName name="IQRCompaniesH1186" hidden="1">[3]Companies!$I$1186:$M$1186</definedName>
    <definedName name="IQRCompaniesH1187" hidden="1">[3]Companies!$I$1187:$K$1187</definedName>
    <definedName name="IQRCompaniesH1188" hidden="1">[3]Companies!$I$1188</definedName>
    <definedName name="IQRCompaniesH1189" hidden="1">[3]Companies!$I$1189:$M$1189</definedName>
    <definedName name="IQRCompaniesH119" hidden="1">[3]Companies!$I$119:$M$119</definedName>
    <definedName name="IQRCompaniesH1190" hidden="1">[3]Companies!$I$1190:$M$1190</definedName>
    <definedName name="IQRCompaniesH1191" hidden="1">[3]Companies!$I$1191:$M$1191</definedName>
    <definedName name="IQRCompaniesH1192" hidden="1">[3]Companies!$I$1192:$M$1192</definedName>
    <definedName name="IQRCompaniesH1193" hidden="1">[3]Companies!$I$1193:$K$1193</definedName>
    <definedName name="IQRCompaniesH1194" hidden="1">[3]Companies!$I$1194:$J$1194</definedName>
    <definedName name="IQRCompaniesH1195" hidden="1">[3]Companies!$I$1195:$J$1195</definedName>
    <definedName name="IQRCompaniesH1196" hidden="1">[3]Companies!$I$1196:$M$1196</definedName>
    <definedName name="IQRCompaniesH1197" hidden="1">[3]Companies!$I$1197:$M$1197</definedName>
    <definedName name="IQRCompaniesH1198" hidden="1">[3]Companies!$I$1198:$M$1198</definedName>
    <definedName name="IQRCompaniesH1199" hidden="1">[3]Companies!$I$1199:$M$1199</definedName>
    <definedName name="IQRCompaniesH12" hidden="1">[2]Companies!$I$12:$M$12</definedName>
    <definedName name="IQRCompaniesH120" hidden="1">[3]Companies!$I$120:$K$120</definedName>
    <definedName name="IQRCompaniesH1200" hidden="1">[3]Companies!$I$1200:$L$1200</definedName>
    <definedName name="IQRCompaniesH1201" hidden="1">[3]Companies!$I$1201:$J$1201</definedName>
    <definedName name="IQRCompaniesH1202" hidden="1">[3]Companies!$I$1202:$M$1202</definedName>
    <definedName name="IQRCompaniesH1203" hidden="1">[3]Companies!$I$1203</definedName>
    <definedName name="IQRCompaniesH1204" hidden="1">[3]Companies!$I$1204:$K$1204</definedName>
    <definedName name="IQRCompaniesH1205" hidden="1">[3]Companies!$I$1205</definedName>
    <definedName name="IQRCompaniesH1206" hidden="1">[3]Companies!$I$1206:$L$1206</definedName>
    <definedName name="IQRCompaniesH1207" hidden="1">[3]Companies!$I$1207:$M$1207</definedName>
    <definedName name="IQRCompaniesH1208" hidden="1">[3]Companies!$I$1208:$M$1208</definedName>
    <definedName name="IQRCompaniesH1209" hidden="1">[3]Companies!$I$1209:$M$1209</definedName>
    <definedName name="IQRCompaniesH121" hidden="1">[3]Companies!$I$121:$J$121</definedName>
    <definedName name="IQRCompaniesH1210" hidden="1">[3]Companies!$I$1210:$L$1210</definedName>
    <definedName name="IQRCompaniesH1211" hidden="1">[3]Companies!$I$1211:$M$1211</definedName>
    <definedName name="IQRCompaniesH1212" hidden="1">[3]Companies!$I$1212</definedName>
    <definedName name="IQRCompaniesH1213" hidden="1">[3]Companies!$I$1213:$J$1213</definedName>
    <definedName name="IQRCompaniesH1214" hidden="1">[3]Companies!$I$1214:$M$1214</definedName>
    <definedName name="IQRCompaniesH1215" hidden="1">[3]Companies!$I$1215:$M$1215</definedName>
    <definedName name="IQRCompaniesH1216" hidden="1">[3]Companies!$I$1216:$M$1216</definedName>
    <definedName name="IQRCompaniesH1217" hidden="1">[3]Companies!$I$1217:$J$1217</definedName>
    <definedName name="IQRCompaniesH1218" hidden="1">[3]Companies!$I$1218</definedName>
    <definedName name="IQRCompaniesH1219" hidden="1">[3]Companies!$I$1219:$K$1219</definedName>
    <definedName name="IQRCompaniesH122" hidden="1">[3]Companies!$I$122:$K$122</definedName>
    <definedName name="IQRCompaniesH1220" hidden="1">[3]Companies!$I$1220</definedName>
    <definedName name="IQRCompaniesH1221" hidden="1">[3]Companies!$I$1221</definedName>
    <definedName name="IQRCompaniesH1222" hidden="1">[3]Companies!$I$1222:$J$1222</definedName>
    <definedName name="IQRCompaniesH1223" hidden="1">[3]Companies!$I$1223:$K$1223</definedName>
    <definedName name="IQRCompaniesH1224" hidden="1">[3]Companies!$I$1224:$M$1224</definedName>
    <definedName name="IQRCompaniesH1225" hidden="1">[3]Companies!$I$1225:$J$1225</definedName>
    <definedName name="IQRCompaniesH1226" hidden="1">[3]Companies!$I$1226</definedName>
    <definedName name="IQRCompaniesH1227" hidden="1">[3]Companies!$I$1227:$M$1227</definedName>
    <definedName name="IQRCompaniesH1228" hidden="1">[3]Companies!$I$1228:$J$1228</definedName>
    <definedName name="IQRCompaniesH1229" hidden="1">[3]Companies!$I$1229:$J$1229</definedName>
    <definedName name="IQRCompaniesH123" hidden="1">[3]Companies!$I$123:$J$123</definedName>
    <definedName name="IQRCompaniesH1230" hidden="1">[3]Companies!$I$1230:$M$1230</definedName>
    <definedName name="IQRCompaniesH1231" hidden="1">[3]Companies!$I$1231:$M$1231</definedName>
    <definedName name="IQRCompaniesH1232" hidden="1">[3]Companies!$I$1232</definedName>
    <definedName name="IQRCompaniesH1233" hidden="1">[3]Companies!$I$1233:$K$1233</definedName>
    <definedName name="IQRCompaniesH1234" hidden="1">[3]Companies!$I$1234:$M$1234</definedName>
    <definedName name="IQRCompaniesH1235" hidden="1">[3]Companies!$I$1235</definedName>
    <definedName name="IQRCompaniesH1236" hidden="1">[3]Companies!$I$1236:$J$1236</definedName>
    <definedName name="IQRCompaniesH1237" hidden="1">[3]Companies!$I$1237:$K$1237</definedName>
    <definedName name="IQRCompaniesH1238" hidden="1">[3]Companies!$I$1238</definedName>
    <definedName name="IQRCompaniesH1239" hidden="1">[3]Companies!$I$1239:$J$1239</definedName>
    <definedName name="IQRCompaniesH124" hidden="1">[3]Companies!$I$124:$M$124</definedName>
    <definedName name="IQRCompaniesH1240" hidden="1">[3]Companies!$I$1240</definedName>
    <definedName name="IQRCompaniesH1241" hidden="1">[3]Companies!$I$1241</definedName>
    <definedName name="IQRCompaniesH1242" hidden="1">[3]Companies!$I$1242</definedName>
    <definedName name="IQRCompaniesH1243" hidden="1">[3]Companies!$I$1243:$M$1243</definedName>
    <definedName name="IQRCompaniesH1244" hidden="1">[3]Companies!$I$1244:$K$1244</definedName>
    <definedName name="IQRCompaniesH1245" hidden="1">[3]Companies!$I$1245:$J$1245</definedName>
    <definedName name="IQRCompaniesH1246" hidden="1">[3]Companies!$I$1246</definedName>
    <definedName name="IQRCompaniesH1247" hidden="1">[3]Companies!$I$1247</definedName>
    <definedName name="IQRCompaniesH1248" hidden="1">[3]Companies!$I$1248:$M$1248</definedName>
    <definedName name="IQRCompaniesH1249" hidden="1">[3]Companies!$I$1249:$M$1249</definedName>
    <definedName name="IQRCompaniesH125" hidden="1">[3]Companies!$I$125</definedName>
    <definedName name="IQRCompaniesH1250" hidden="1">[3]Companies!$I$1250</definedName>
    <definedName name="IQRCompaniesH1251" hidden="1">[3]Companies!$I$1251:$M$1251</definedName>
    <definedName name="IQRCompaniesH1252" hidden="1">[3]Companies!$I$1252:$K$1252</definedName>
    <definedName name="IQRCompaniesH1253" hidden="1">[3]Companies!$I$1253:$L$1253</definedName>
    <definedName name="IQRCompaniesH1254" hidden="1">[3]Companies!$I$1254:$J$1254</definedName>
    <definedName name="IQRCompaniesH1255" hidden="1">[3]Companies!$I$1255:$M$1255</definedName>
    <definedName name="IQRCompaniesH1256" hidden="1">[3]Companies!$I$1256:$M$1256</definedName>
    <definedName name="IQRCompaniesH1257" hidden="1">[3]Companies!$I$1257:$K$1257</definedName>
    <definedName name="IQRCompaniesH1258" hidden="1">[3]Companies!$I$1258:$K$1258</definedName>
    <definedName name="IQRCompaniesH1259" hidden="1">[3]Companies!$I$1259:$J$1259</definedName>
    <definedName name="IQRCompaniesH126" hidden="1">[3]Companies!$I$126:$J$126</definedName>
    <definedName name="IQRCompaniesH1260" hidden="1">[3]Companies!$I$1260</definedName>
    <definedName name="IQRCompaniesH1261" hidden="1">[3]Companies!$I$1261</definedName>
    <definedName name="IQRCompaniesH1262" hidden="1">[3]Companies!$I$1262</definedName>
    <definedName name="IQRCompaniesH1263" hidden="1">[3]Companies!$I$1263</definedName>
    <definedName name="IQRCompaniesH1264" hidden="1">[3]Companies!$I$1264:$M$1264</definedName>
    <definedName name="IQRCompaniesH1265" hidden="1">[3]Companies!$I$1265:$M$1265</definedName>
    <definedName name="IQRCompaniesH1266" hidden="1">[3]Companies!$I$1266:$L$1266</definedName>
    <definedName name="IQRCompaniesH1267" hidden="1">[3]Companies!$I$1267:$K$1267</definedName>
    <definedName name="IQRCompaniesH1268" hidden="1">[3]Companies!$I$1268</definedName>
    <definedName name="IQRCompaniesH1269" hidden="1">[3]Companies!$I$1269</definedName>
    <definedName name="IQRCompaniesH127" hidden="1">[3]Companies!$I$127:$L$127</definedName>
    <definedName name="IQRCompaniesH1270" hidden="1">[3]Companies!$I$1270</definedName>
    <definedName name="IQRCompaniesH1271" hidden="1">[3]Companies!$I$1271:$J$1271</definedName>
    <definedName name="IQRCompaniesH1272" hidden="1">[3]Companies!$I$1272</definedName>
    <definedName name="IQRCompaniesH1273" hidden="1">[3]Companies!$I$1273</definedName>
    <definedName name="IQRCompaniesH1274" hidden="1">[3]Companies!$I$1274:$M$1274</definedName>
    <definedName name="IQRCompaniesH1275" hidden="1">[3]Companies!$I$1275</definedName>
    <definedName name="IQRCompaniesH1276" hidden="1">[3]Companies!$I$1276:$M$1276</definedName>
    <definedName name="IQRCompaniesH1277" hidden="1">[3]Companies!$I$1277:$M$1277</definedName>
    <definedName name="IQRCompaniesH1278" hidden="1">[3]Companies!$I$1278:$L$1278</definedName>
    <definedName name="IQRCompaniesH1279" hidden="1">[3]Companies!$I$1279:$J$1279</definedName>
    <definedName name="IQRCompaniesH128" hidden="1">[3]Companies!$I$128:$K$128</definedName>
    <definedName name="IQRCompaniesH1280" hidden="1">[3]Companies!$I$1280:$J$1280</definedName>
    <definedName name="IQRCompaniesH1281" hidden="1">[3]Companies!$I$1281</definedName>
    <definedName name="IQRCompaniesH1282" hidden="1">[3]Companies!$I$1282:$M$1282</definedName>
    <definedName name="IQRCompaniesH1283" hidden="1">[3]Companies!$I$1283</definedName>
    <definedName name="IQRCompaniesH1284" hidden="1">[3]Companies!$I$1284</definedName>
    <definedName name="IQRCompaniesH1285" hidden="1">[3]Companies!$I$1285:$M$1285</definedName>
    <definedName name="IQRCompaniesH1286" hidden="1">[3]Companies!$I$1286:$L$1286</definedName>
    <definedName name="IQRCompaniesH1287" hidden="1">[3]Companies!$I$1287:$M$1287</definedName>
    <definedName name="IQRCompaniesH1288" hidden="1">[3]Companies!$I$1288:$J$1288</definedName>
    <definedName name="IQRCompaniesH1289" hidden="1">[3]Companies!$I$1289</definedName>
    <definedName name="IQRCompaniesH129" hidden="1">[3]Companies!$I$129:$J$129</definedName>
    <definedName name="IQRCompaniesH1290" hidden="1">[3]Companies!$I$1290</definedName>
    <definedName name="IQRCompaniesH1291" hidden="1">[3]Companies!$I$1291:$K$1291</definedName>
    <definedName name="IQRCompaniesH1292" hidden="1">[3]Companies!$I$1292</definedName>
    <definedName name="IQRCompaniesH1293" hidden="1">[3]Companies!$I$1293:$M$1293</definedName>
    <definedName name="IQRCompaniesH1294" hidden="1">[3]Companies!$I$1294</definedName>
    <definedName name="IQRCompaniesH1295" hidden="1">[3]Companies!$I$1295</definedName>
    <definedName name="IQRCompaniesH1296" hidden="1">[3]Companies!$I$1296:$J$1296</definedName>
    <definedName name="IQRCompaniesH1297" hidden="1">[3]Companies!$I$1297:$L$1297</definedName>
    <definedName name="IQRCompaniesH1298" hidden="1">[3]Companies!$I$1298</definedName>
    <definedName name="IQRCompaniesH1299" hidden="1">[3]Companies!$I$1299:$K$1299</definedName>
    <definedName name="IQRCompaniesH13" hidden="1">[2]Companies!$I$13:$M$13</definedName>
    <definedName name="IQRCompaniesH130" hidden="1">[3]Companies!$I$130</definedName>
    <definedName name="IQRCompaniesH1300" hidden="1">[3]Companies!$I$1300</definedName>
    <definedName name="IQRCompaniesH1301" hidden="1">[3]Companies!$I$1301:$J$1301</definedName>
    <definedName name="IQRCompaniesH1302" hidden="1">[3]Companies!$I$1302:$K$1302</definedName>
    <definedName name="IQRCompaniesH131" hidden="1">[3]Companies!$I$131:$M$131</definedName>
    <definedName name="IQRCompaniesH132" hidden="1">[3]Companies!$I$132</definedName>
    <definedName name="IQRCompaniesH133" hidden="1">[3]Companies!$I$133:$M$133</definedName>
    <definedName name="IQRCompaniesH134" hidden="1">[3]Companies!$I$134</definedName>
    <definedName name="IQRCompaniesH135" hidden="1">[3]Companies!$I$135:$J$135</definedName>
    <definedName name="IQRCompaniesH136" hidden="1">[3]Companies!$I$136:$K$136</definedName>
    <definedName name="IQRCompaniesH137" hidden="1">[3]Companies!$I$137:$J$137</definedName>
    <definedName name="IQRCompaniesH138" hidden="1">[3]Companies!$I$138:$L$138</definedName>
    <definedName name="IQRCompaniesH139" hidden="1">[3]Companies!$I$139:$J$139</definedName>
    <definedName name="IQRCompaniesH14" hidden="1">[2]Companies!$I$14:$M$14</definedName>
    <definedName name="IQRCompaniesH140" hidden="1">[3]Companies!$I$140:$L$140</definedName>
    <definedName name="IQRCompaniesH141" hidden="1">[3]Companies!$I$141:$M$141</definedName>
    <definedName name="IQRCompaniesH142" hidden="1">[3]Companies!$I$142:$L$142</definedName>
    <definedName name="IQRCompaniesH143" hidden="1">[3]Companies!$I$143:$J$143</definedName>
    <definedName name="IQRCompaniesH144" hidden="1">[3]Companies!$I$144</definedName>
    <definedName name="IQRCompaniesH145" hidden="1">[3]Companies!$I$145:$J$145</definedName>
    <definedName name="IQRCompaniesH146" hidden="1">[3]Companies!$I$146:$J$146</definedName>
    <definedName name="IQRCompaniesH147" hidden="1">[3]Companies!$I$147:$M$147</definedName>
    <definedName name="IQRCompaniesH148" hidden="1">[3]Companies!$I$148:$J$148</definedName>
    <definedName name="IQRCompaniesH149" hidden="1">[3]Companies!$I$149</definedName>
    <definedName name="IQRCompaniesH15" hidden="1">[2]Companies!$I$15:$M$15</definedName>
    <definedName name="IQRCompaniesH150" hidden="1">[3]Companies!$I$150:$K$150</definedName>
    <definedName name="IQRCompaniesH151" hidden="1">[3]Companies!$I$151</definedName>
    <definedName name="IQRCompaniesH152" hidden="1">[3]Companies!$I$152:$L$152</definedName>
    <definedName name="IQRCompaniesH153" hidden="1">[3]Companies!$I$153</definedName>
    <definedName name="IQRCompaniesH154" hidden="1">[3]Companies!$I$154:$M$154</definedName>
    <definedName name="IQRCompaniesH155" hidden="1">[3]Companies!$I$155:$M$155</definedName>
    <definedName name="IQRCompaniesH156" hidden="1">[3]Companies!$I$156</definedName>
    <definedName name="IQRCompaniesH157" hidden="1">[3]Companies!$I$157:$M$157</definedName>
    <definedName name="IQRCompaniesH158" hidden="1">[3]Companies!$I$158:$M$158</definedName>
    <definedName name="IQRCompaniesH159" hidden="1">[3]Companies!$I$159</definedName>
    <definedName name="IQRCompaniesH16" hidden="1">[2]Companies!$I$16:$M$16</definedName>
    <definedName name="IQRCompaniesH160" hidden="1">[3]Companies!$I$160:$K$160</definedName>
    <definedName name="IQRCompaniesH161" hidden="1">[3]Companies!$I$161:$J$161</definedName>
    <definedName name="IQRCompaniesH162" hidden="1">[3]Companies!$I$162:$J$162</definedName>
    <definedName name="IQRCompaniesH163" hidden="1">[3]Companies!$I$163</definedName>
    <definedName name="IQRCompaniesH164" hidden="1">[3]Companies!$I$164:$J$164</definedName>
    <definedName name="IQRCompaniesH165" hidden="1">[3]Companies!$I$165:$M$165</definedName>
    <definedName name="IQRCompaniesH166" hidden="1">[3]Companies!$I$166</definedName>
    <definedName name="IQRCompaniesH167" hidden="1">[3]Companies!$I$167:$J$167</definedName>
    <definedName name="IQRCompaniesH168" hidden="1">[3]Companies!$I$168:$K$168</definedName>
    <definedName name="IQRCompaniesH169" hidden="1">[3]Companies!$I$169:$M$169</definedName>
    <definedName name="IQRCompaniesH17" hidden="1">[2]Companies!$I$17:$M$17</definedName>
    <definedName name="IQRCompaniesH170" hidden="1">[3]Companies!$I$170</definedName>
    <definedName name="IQRCompaniesH171" hidden="1">[3]Companies!$I$171</definedName>
    <definedName name="IQRCompaniesH172" hidden="1">[3]Companies!$I$172:$J$172</definedName>
    <definedName name="IQRCompaniesH173" hidden="1">[3]Companies!$I$173</definedName>
    <definedName name="IQRCompaniesH174" hidden="1">[3]Companies!$I$174</definedName>
    <definedName name="IQRCompaniesH175" hidden="1">[3]Companies!$I$175:$M$175</definedName>
    <definedName name="IQRCompaniesH176" hidden="1">[3]Companies!$I$176</definedName>
    <definedName name="IQRCompaniesH177" hidden="1">[3]Companies!$I$177</definedName>
    <definedName name="IQRCompaniesH178" hidden="1">[3]Companies!$I$178:$M$178</definedName>
    <definedName name="IQRCompaniesH179" hidden="1">[3]Companies!$I$179:$J$179</definedName>
    <definedName name="IQRCompaniesH18" hidden="1">[2]Companies!$I$18:$M$18</definedName>
    <definedName name="IQRCompaniesH180" hidden="1">[3]Companies!$I$180</definedName>
    <definedName name="IQRCompaniesH181" hidden="1">[3]Companies!$I$181:$M$181</definedName>
    <definedName name="IQRCompaniesH182" hidden="1">[3]Companies!$I$182</definedName>
    <definedName name="IQRCompaniesH183" hidden="1">[3]Companies!$I$183:$J$183</definedName>
    <definedName name="IQRCompaniesH184" hidden="1">[3]Companies!$I$184</definedName>
    <definedName name="IQRCompaniesH185" hidden="1">[3]Companies!$I$185:$J$185</definedName>
    <definedName name="IQRCompaniesH186" hidden="1">[3]Companies!$I$186</definedName>
    <definedName name="IQRCompaniesH187" hidden="1">[3]Companies!$I$187:$M$187</definedName>
    <definedName name="IQRCompaniesH188" hidden="1">[3]Companies!$I$188:$M$188</definedName>
    <definedName name="IQRCompaniesH189" hidden="1">[3]Companies!$I$189:$M$189</definedName>
    <definedName name="IQRCompaniesH19" hidden="1">[2]Companies!$I$19:$M$19</definedName>
    <definedName name="IQRCompaniesH190" hidden="1">[3]Companies!$I$190:$M$190</definedName>
    <definedName name="IQRCompaniesH191" hidden="1">[3]Companies!$I$191:$M$191</definedName>
    <definedName name="IQRCompaniesH192" hidden="1">[3]Companies!$I$192</definedName>
    <definedName name="IQRCompaniesH193" hidden="1">[3]Companies!$I$193</definedName>
    <definedName name="IQRCompaniesH194" hidden="1">[3]Companies!$I$194:$J$194</definedName>
    <definedName name="IQRCompaniesH195" hidden="1">[3]Companies!$I$195</definedName>
    <definedName name="IQRCompaniesH196" hidden="1">[3]Companies!$I$196:$K$196</definedName>
    <definedName name="IQRCompaniesH197" hidden="1">[3]Companies!$I$197:$M$197</definedName>
    <definedName name="IQRCompaniesH198" hidden="1">[3]Companies!$I$198:$J$198</definedName>
    <definedName name="IQRCompaniesH199" hidden="1">[3]Companies!$I$199:$L$199</definedName>
    <definedName name="IQRCompaniesH20" hidden="1">[2]Companies!$I$20:$M$20</definedName>
    <definedName name="IQRCompaniesH200" hidden="1">[3]Companies!$I$200</definedName>
    <definedName name="IQRCompaniesH201" hidden="1">[3]Companies!$I$201:$M$201</definedName>
    <definedName name="IQRCompaniesH2015" hidden="1">[4]Companies!$I$2015:$M$2015</definedName>
    <definedName name="IQRCompaniesH2017" hidden="1">[3]Companies!$I$2017:$J$2017</definedName>
    <definedName name="IQRCompaniesH202" hidden="1">[3]Companies!$I$202:$J$202</definedName>
    <definedName name="IQRCompaniesH2025" hidden="1">[3]Companies!$I$2025</definedName>
    <definedName name="IQRCompaniesH203" hidden="1">[3]Companies!$I$203:$J$203</definedName>
    <definedName name="IQRCompaniesH204" hidden="1">[3]Companies!$I$204</definedName>
    <definedName name="IQRCompaniesH205" hidden="1">[3]Companies!$I$205:$J$205</definedName>
    <definedName name="IQRCompaniesH206" hidden="1">[3]Companies!$I$206:$K$206</definedName>
    <definedName name="IQRCompaniesH207" hidden="1">[3]Companies!$I$207:$M$207</definedName>
    <definedName name="IQRCompaniesH208" hidden="1">[3]Companies!$I$208:$M$208</definedName>
    <definedName name="IQRCompaniesH209" hidden="1">[3]Companies!$I$209:$K$209</definedName>
    <definedName name="IQRCompaniesH21" hidden="1">[2]Companies!$I$21:$M$21</definedName>
    <definedName name="IQRCompaniesH210" hidden="1">[3]Companies!$I$210:$K$210</definedName>
    <definedName name="IQRCompaniesH211" hidden="1">[3]Companies!$I$211:$M$211</definedName>
    <definedName name="IQRCompaniesH212" hidden="1">[3]Companies!$I$212:$M$212</definedName>
    <definedName name="IQRCompaniesH213" hidden="1">[3]Companies!$I$213:$M$213</definedName>
    <definedName name="IQRCompaniesH214" hidden="1">[3]Companies!$I$214:$M$214</definedName>
    <definedName name="IQRCompaniesH215" hidden="1">[3]Companies!$I$215:$K$215</definedName>
    <definedName name="IQRCompaniesH216" hidden="1">[3]Companies!$I$216:$M$216</definedName>
    <definedName name="IQRCompaniesH217" hidden="1">[3]Companies!$I$217:$M$217</definedName>
    <definedName name="IQRCompaniesH218" hidden="1">[3]Companies!$I$218</definedName>
    <definedName name="IQRCompaniesH219" hidden="1">[3]Companies!$I$219:$M$219</definedName>
    <definedName name="IQRCompaniesH22" hidden="1">[2]Companies!$I$22:$M$22</definedName>
    <definedName name="IQRCompaniesH220" hidden="1">[3]Companies!$I$220</definedName>
    <definedName name="IQRCompaniesH221" hidden="1">[3]Companies!$I$221:$M$221</definedName>
    <definedName name="IQRCompaniesH222" hidden="1">[3]Companies!$I$222</definedName>
    <definedName name="IQRCompaniesH223" hidden="1">[3]Companies!$I$223:$M$223</definedName>
    <definedName name="IQRCompaniesH224" hidden="1">[3]Companies!$I$224:$K$224</definedName>
    <definedName name="IQRCompaniesH225" hidden="1">[3]Companies!$I$225:$M$225</definedName>
    <definedName name="IQRCompaniesH226" hidden="1">[3]Companies!$I$226</definedName>
    <definedName name="IQRCompaniesH227" hidden="1">[3]Companies!$I$227:$J$227</definedName>
    <definedName name="IQRCompaniesH228" hidden="1">[3]Companies!$I$228:$J$228</definedName>
    <definedName name="IQRCompaniesH229" hidden="1">[3]Companies!$I$229</definedName>
    <definedName name="IQRCompaniesH23" hidden="1">[2]Companies!$I$23</definedName>
    <definedName name="IQRCompaniesH230" hidden="1">[3]Companies!$I$230</definedName>
    <definedName name="IQRCompaniesH231" hidden="1">[3]Companies!$I$231:$L$231</definedName>
    <definedName name="IQRCompaniesH232" hidden="1">[3]Companies!$I$232:$K$232</definedName>
    <definedName name="IQRCompaniesH233" hidden="1">[3]Companies!$I$233:$K$233</definedName>
    <definedName name="IQRCompaniesH234" hidden="1">[3]Companies!$I$234:$M$234</definedName>
    <definedName name="IQRCompaniesH235" hidden="1">[3]Companies!$I$235:$M$235</definedName>
    <definedName name="IQRCompaniesH236" hidden="1">[3]Companies!$I$236:$K$236</definedName>
    <definedName name="IQRCompaniesH237" hidden="1">[3]Companies!$I$237:$J$237</definedName>
    <definedName name="IQRCompaniesH238" hidden="1">[3]Companies!$I$238</definedName>
    <definedName name="IQRCompaniesH239" hidden="1">[3]Companies!$I$239:$L$239</definedName>
    <definedName name="IQRCompaniesH24" hidden="1">[2]Companies!$I$24:$M$24</definedName>
    <definedName name="IQRCompaniesH240" hidden="1">[3]Companies!$I$240:$M$240</definedName>
    <definedName name="IQRCompaniesH241" hidden="1">[3]Companies!$I$241:$M$241</definedName>
    <definedName name="IQRCompaniesH242" hidden="1">[3]Companies!$I$242:$L$242</definedName>
    <definedName name="IQRCompaniesH243" hidden="1">[3]Companies!$I$243:$M$243</definedName>
    <definedName name="IQRCompaniesH244" hidden="1">[3]Companies!$I$244</definedName>
    <definedName name="IQRCompaniesH245" hidden="1">[3]Companies!$I$245:$J$245</definedName>
    <definedName name="IQRCompaniesH246" hidden="1">[3]Companies!$I$246:$K$246</definedName>
    <definedName name="IQRCompaniesH247" hidden="1">[3]Companies!$I$247:$J$247</definedName>
    <definedName name="IQRCompaniesH248" hidden="1">[3]Companies!$I$248:$M$248</definedName>
    <definedName name="IQRCompaniesH249" hidden="1">[3]Companies!$I$249</definedName>
    <definedName name="IQRCompaniesH25" hidden="1">[2]Companies!$I$25</definedName>
    <definedName name="IQRCompaniesH250" hidden="1">[3]Companies!$I$250:$M$250</definedName>
    <definedName name="IQRCompaniesH251" hidden="1">[3]Companies!$I$251:$J$251</definedName>
    <definedName name="IQRCompaniesH252" hidden="1">[3]Companies!$I$252:$M$252</definedName>
    <definedName name="IQRCompaniesH253" hidden="1">[3]Companies!$I$253</definedName>
    <definedName name="IQRCompaniesH254" hidden="1">[3]Companies!$I$254:$J$254</definedName>
    <definedName name="IQRCompaniesH255" hidden="1">[3]Companies!$I$255</definedName>
    <definedName name="IQRCompaniesH256" hidden="1">[3]Companies!$I$256:$L$256</definedName>
    <definedName name="IQRCompaniesH257" hidden="1">[3]Companies!$I$257:$K$257</definedName>
    <definedName name="IQRCompaniesH258" hidden="1">[3]Companies!$I$258:$K$258</definedName>
    <definedName name="IQRCompaniesH259" hidden="1">[3]Companies!$I$259</definedName>
    <definedName name="IQRCompaniesH26" hidden="1">[2]Companies!$I$26:$M$26</definedName>
    <definedName name="IQRCompaniesH260" hidden="1">[3]Companies!$I$260:$J$260</definedName>
    <definedName name="IQRCompaniesH261" hidden="1">[3]Companies!$I$261</definedName>
    <definedName name="IQRCompaniesH262" hidden="1">[3]Companies!$I$262</definedName>
    <definedName name="IQRCompaniesH263" hidden="1">[3]Companies!$I$263</definedName>
    <definedName name="IQRCompaniesH264" hidden="1">[3]Companies!$I$264</definedName>
    <definedName name="IQRCompaniesH265" hidden="1">[3]Companies!$I$265:$J$265</definedName>
    <definedName name="IQRCompaniesH266" hidden="1">[3]Companies!$I$266:$M$266</definedName>
    <definedName name="IQRCompaniesH267" hidden="1">[3]Companies!$I$267:$M$267</definedName>
    <definedName name="IQRCompaniesH268" hidden="1">[3]Companies!$I$268:$L$268</definedName>
    <definedName name="IQRCompaniesH269" hidden="1">[3]Companies!$I$269</definedName>
    <definedName name="IQRCompaniesH27" hidden="1">[2]Companies!$I$27:$M$27</definedName>
    <definedName name="IQRCompaniesH270" hidden="1">[3]Companies!$I$270:$K$270</definedName>
    <definedName name="IQRCompaniesH271" hidden="1">[3]Companies!$I$271:$M$271</definedName>
    <definedName name="IQRCompaniesH272" hidden="1">[3]Companies!$I$272:$K$272</definedName>
    <definedName name="IQRCompaniesH273" hidden="1">[3]Companies!$I$273:$M$273</definedName>
    <definedName name="IQRCompaniesH274" hidden="1">[3]Companies!$I$274:$J$274</definedName>
    <definedName name="IQRCompaniesH275" hidden="1">[3]Companies!$I$275:$M$275</definedName>
    <definedName name="IQRCompaniesH276" hidden="1">[3]Companies!$I$276:$M$276</definedName>
    <definedName name="IQRCompaniesH277" hidden="1">[3]Companies!$I$277:$M$277</definedName>
    <definedName name="IQRCompaniesH278" hidden="1">[3]Companies!$I$278:$M$278</definedName>
    <definedName name="IQRCompaniesH279" hidden="1">[3]Companies!$I$279:$M$279</definedName>
    <definedName name="IQRCompaniesH28" hidden="1">[2]Companies!$I$28:$M$28</definedName>
    <definedName name="IQRCompaniesH280" hidden="1">[3]Companies!$I$280</definedName>
    <definedName name="IQRCompaniesH281" hidden="1">[3]Companies!$I$281</definedName>
    <definedName name="IQRCompaniesH282" hidden="1">[3]Companies!$I$282:$J$282</definedName>
    <definedName name="IQRCompaniesH283" hidden="1">[3]Companies!$I$283</definedName>
    <definedName name="IQRCompaniesH284" hidden="1">[3]Companies!$I$284</definedName>
    <definedName name="IQRCompaniesH285" hidden="1">[3]Companies!$I$285</definedName>
    <definedName name="IQRCompaniesH286" hidden="1">[3]Companies!$I$286</definedName>
    <definedName name="IQRCompaniesH287" hidden="1">[3]Companies!$I$287</definedName>
    <definedName name="IQRCompaniesH288" hidden="1">[3]Companies!$I$288</definedName>
    <definedName name="IQRCompaniesH289" hidden="1">[3]Companies!$I$289:$J$289</definedName>
    <definedName name="IQRCompaniesH29" hidden="1">[3]Companies!$I$29:$L$29</definedName>
    <definedName name="IQRCompaniesH290" hidden="1">[3]Companies!$I$290</definedName>
    <definedName name="IQRCompaniesH291" hidden="1">[3]Companies!$I$291</definedName>
    <definedName name="IQRCompaniesH292" hidden="1">[3]Companies!$I$292:$J$292</definedName>
    <definedName name="IQRCompaniesH293" hidden="1">[3]Companies!$I$293:$M$293</definedName>
    <definedName name="IQRCompaniesH294" hidden="1">[3]Companies!$I$294:$L$294</definedName>
    <definedName name="IQRCompaniesH295" hidden="1">[3]Companies!$I$295</definedName>
    <definedName name="IQRCompaniesH296" hidden="1">[3]Companies!$I$296</definedName>
    <definedName name="IQRCompaniesH297" hidden="1">[3]Companies!$I$297</definedName>
    <definedName name="IQRCompaniesH298" hidden="1">[3]Companies!$I$298</definedName>
    <definedName name="IQRCompaniesH299" hidden="1">[3]Companies!$I$299</definedName>
    <definedName name="IQRCompaniesH30" hidden="1">[2]Companies!$I$30:$M$30</definedName>
    <definedName name="IQRCompaniesH300" hidden="1">[3]Companies!$I$300</definedName>
    <definedName name="IQRCompaniesH301" hidden="1">[3]Companies!$I$301:$J$301</definedName>
    <definedName name="IQRCompaniesH302" hidden="1">[3]Companies!$I$302:$L$302</definedName>
    <definedName name="IQRCompaniesH303" hidden="1">[3]Companies!$I$303</definedName>
    <definedName name="IQRCompaniesH304" hidden="1">[3]Companies!$I$304</definedName>
    <definedName name="IQRCompaniesH305" hidden="1">[3]Companies!$I$305</definedName>
    <definedName name="IQRCompaniesH306" hidden="1">[3]Companies!$I$306</definedName>
    <definedName name="IQRCompaniesH307" hidden="1">[3]Companies!$I$307</definedName>
    <definedName name="IQRCompaniesH308" hidden="1">[3]Companies!$I$308</definedName>
    <definedName name="IQRCompaniesH309" hidden="1">[3]Companies!$I$309:$M$309</definedName>
    <definedName name="IQRCompaniesH31" hidden="1">[5]Companies!$I$31</definedName>
    <definedName name="IQRCompaniesH310" hidden="1">[3]Companies!$I$310:$M$310</definedName>
    <definedName name="IQRCompaniesH311" hidden="1">[3]Companies!$I$311:$M$311</definedName>
    <definedName name="IQRCompaniesH312" hidden="1">[3]Companies!$I$312:$M$312</definedName>
    <definedName name="IQRCompaniesH313" hidden="1">[3]Companies!$I$313:$M$313</definedName>
    <definedName name="IQRCompaniesH314" hidden="1">[3]Companies!$I$314:$J$314</definedName>
    <definedName name="IQRCompaniesH315" hidden="1">[3]Companies!$I$315:$J$315</definedName>
    <definedName name="IQRCompaniesH316" hidden="1">[3]Companies!$I$316:$M$316</definedName>
    <definedName name="IQRCompaniesH317" hidden="1">[3]Companies!$I$317:$M$317</definedName>
    <definedName name="IQRCompaniesH318" hidden="1">[3]Companies!$I$318:$K$318</definedName>
    <definedName name="IQRCompaniesH319" hidden="1">[3]Companies!$I$319:$M$319</definedName>
    <definedName name="IQRCompaniesH32" hidden="1">[2]Companies!$I$32:$M$32</definedName>
    <definedName name="IQRCompaniesH320" hidden="1">[3]Companies!$I$320:$M$320</definedName>
    <definedName name="IQRCompaniesH321" hidden="1">[3]Companies!$I$321:$M$321</definedName>
    <definedName name="IQRCompaniesH322" hidden="1">[3]Companies!$I$322:$M$322</definedName>
    <definedName name="IQRCompaniesH323" hidden="1">[3]Companies!$I$323</definedName>
    <definedName name="IQRCompaniesH324" hidden="1">[3]Companies!$I$324</definedName>
    <definedName name="IQRCompaniesH325" hidden="1">[3]Companies!$I$325:$M$325</definedName>
    <definedName name="IQRCompaniesH326" hidden="1">[3]Companies!$I$326:$M$326</definedName>
    <definedName name="IQRCompaniesH327" hidden="1">[3]Companies!$I$327:$J$327</definedName>
    <definedName name="IQRCompaniesH328" hidden="1">[3]Companies!$I$328:$M$328</definedName>
    <definedName name="IQRCompaniesH329" hidden="1">[3]Companies!$I$329</definedName>
    <definedName name="IQRCompaniesH33" hidden="1">[2]Companies!$I$33:$M$33</definedName>
    <definedName name="IQRCompaniesH330" hidden="1">[3]Companies!$I$330</definedName>
    <definedName name="IQRCompaniesH331" hidden="1">[3]Companies!$I$331:$J$331</definedName>
    <definedName name="IQRCompaniesH332" hidden="1">[3]Companies!$I$332:$J$332</definedName>
    <definedName name="IQRCompaniesH333" hidden="1">[3]Companies!$I$333</definedName>
    <definedName name="IQRCompaniesH334" hidden="1">[3]Companies!$I$334:$J$334</definedName>
    <definedName name="IQRCompaniesH335" hidden="1">[3]Companies!$I$335:$M$335</definedName>
    <definedName name="IQRCompaniesH336" hidden="1">[3]Companies!$I$336:$M$336</definedName>
    <definedName name="IQRCompaniesH337" hidden="1">[3]Companies!$I$337</definedName>
    <definedName name="IQRCompaniesH338" hidden="1">[3]Companies!$I$338:$M$338</definedName>
    <definedName name="IQRCompaniesH339" hidden="1">[3]Companies!$I$339:$M$339</definedName>
    <definedName name="IQRCompaniesH34" hidden="1">[2]Companies!$I$34:$M$34</definedName>
    <definedName name="IQRCompaniesH340" hidden="1">[3]Companies!$I$340:$M$340</definedName>
    <definedName name="IQRCompaniesH341" hidden="1">[3]Companies!$I$341:$M$341</definedName>
    <definedName name="IQRCompaniesH342" hidden="1">[3]Companies!$I$342:$K$342</definedName>
    <definedName name="IQRCompaniesH343" hidden="1">[3]Companies!$I$343</definedName>
    <definedName name="IQRCompaniesH344" hidden="1">[3]Companies!$I$344:$J$344</definedName>
    <definedName name="IQRCompaniesH345" hidden="1">[3]Companies!$I$345</definedName>
    <definedName name="IQRCompaniesH346" hidden="1">[3]Companies!$I$346:$K$346</definedName>
    <definedName name="IQRCompaniesH347" hidden="1">[3]Companies!$I$347</definedName>
    <definedName name="IQRCompaniesH348" hidden="1">[3]Companies!$I$348:$M$348</definedName>
    <definedName name="IQRCompaniesH349" hidden="1">[3]Companies!$I$349:$M$349</definedName>
    <definedName name="IQRCompaniesH35" hidden="1">[2]Companies!$I$35:$K$35</definedName>
    <definedName name="IQRCompaniesH350" hidden="1">[3]Companies!$I$350</definedName>
    <definedName name="IQRCompaniesH351" hidden="1">[3]Companies!$I$351</definedName>
    <definedName name="IQRCompaniesH352" hidden="1">[3]Companies!$I$352</definedName>
    <definedName name="IQRCompaniesH353" hidden="1">[3]Companies!$I$353:$M$353</definedName>
    <definedName name="IQRCompaniesH354" hidden="1">[3]Companies!$I$354:$M$354</definedName>
    <definedName name="IQRCompaniesH355" hidden="1">[3]Companies!$I$355:$M$355</definedName>
    <definedName name="IQRCompaniesH356" hidden="1">[3]Companies!$I$356</definedName>
    <definedName name="IQRCompaniesH357" hidden="1">[3]Companies!$I$357:$J$357</definedName>
    <definedName name="IQRCompaniesH358" hidden="1">[3]Companies!$I$358:$M$358</definedName>
    <definedName name="IQRCompaniesH359" hidden="1">[3]Companies!$I$359:$K$359</definedName>
    <definedName name="IQRCompaniesH36" hidden="1">[2]Companies!$I$36</definedName>
    <definedName name="IQRCompaniesH360" hidden="1">[3]Companies!$I$360</definedName>
    <definedName name="IQRCompaniesH361" hidden="1">[3]Companies!$I$361:$K$361</definedName>
    <definedName name="IQRCompaniesH362" hidden="1">[3]Companies!$I$362:$J$362</definedName>
    <definedName name="IQRCompaniesH363" hidden="1">[3]Companies!$I$363:$M$363</definedName>
    <definedName name="IQRCompaniesH364" hidden="1">[3]Companies!$I$364</definedName>
    <definedName name="IQRCompaniesH365" hidden="1">[3]Companies!$I$365:$J$365</definedName>
    <definedName name="IQRCompaniesH366" hidden="1">[3]Companies!$I$366:$M$366</definedName>
    <definedName name="IQRCompaniesH367" hidden="1">[3]Companies!$I$367:$M$367</definedName>
    <definedName name="IQRCompaniesH368" hidden="1">[3]Companies!$I$368:$L$368</definedName>
    <definedName name="IQRCompaniesH369" hidden="1">[3]Companies!$I$369:$J$369</definedName>
    <definedName name="IQRCompaniesH37" hidden="1">[2]Companies!$I$37:$M$37</definedName>
    <definedName name="IQRCompaniesH370" hidden="1">[3]Companies!$I$370:$L$370</definedName>
    <definedName name="IQRCompaniesH371" hidden="1">[3]Companies!$I$371:$M$371</definedName>
    <definedName name="IQRCompaniesH372" hidden="1">[3]Companies!$I$372:$J$372</definedName>
    <definedName name="IQRCompaniesH373" hidden="1">[3]Companies!$I$373</definedName>
    <definedName name="IQRCompaniesH374" hidden="1">[3]Companies!$I$374</definedName>
    <definedName name="IQRCompaniesH375" hidden="1">[3]Companies!$I$375</definedName>
    <definedName name="IQRCompaniesH376" hidden="1">[3]Companies!$I$376:$L$376</definedName>
    <definedName name="IQRCompaniesH377" hidden="1">[3]Companies!$I$377:$J$377</definedName>
    <definedName name="IQRCompaniesH378" hidden="1">[3]Companies!$I$378:$J$378</definedName>
    <definedName name="IQRCompaniesH379" hidden="1">[3]Companies!$I$379</definedName>
    <definedName name="IQRCompaniesH38" hidden="1">[2]Companies!$I$38:$M$38</definedName>
    <definedName name="IQRCompaniesH380" hidden="1">[3]Companies!$I$380:$J$380</definedName>
    <definedName name="IQRCompaniesH381" hidden="1">[3]Companies!$I$381:$M$381</definedName>
    <definedName name="IQRCompaniesH382" hidden="1">[3]Companies!$I$382:$M$382</definedName>
    <definedName name="IQRCompaniesH383" hidden="1">[3]Companies!$I$383:$M$383</definedName>
    <definedName name="IQRCompaniesH384" hidden="1">[3]Companies!$I$384:$J$384</definedName>
    <definedName name="IQRCompaniesH385" hidden="1">[3]Companies!$I$385</definedName>
    <definedName name="IQRCompaniesH386" hidden="1">[3]Companies!$I$386:$K$386</definedName>
    <definedName name="IQRCompaniesH387" hidden="1">[3]Companies!$I$387</definedName>
    <definedName name="IQRCompaniesH388" hidden="1">[3]Companies!$I$388:$M$388</definedName>
    <definedName name="IQRCompaniesH389" hidden="1">[3]Companies!$I$389:$M$389</definedName>
    <definedName name="IQRCompaniesH39" hidden="1">[2]Companies!$I$39:$M$39</definedName>
    <definedName name="IQRCompaniesH390" hidden="1">[3]Companies!$I$390</definedName>
    <definedName name="IQRCompaniesH391" hidden="1">[3]Companies!$I$391:$J$391</definedName>
    <definedName name="IQRCompaniesH392" hidden="1">[3]Companies!$I$392</definedName>
    <definedName name="IQRCompaniesH393" hidden="1">[3]Companies!$I$393:$M$393</definedName>
    <definedName name="IQRCompaniesH394" hidden="1">[3]Companies!$I$394</definedName>
    <definedName name="IQRCompaniesH395" hidden="1">[3]Companies!$I$395</definedName>
    <definedName name="IQRCompaniesH396" hidden="1">[3]Companies!$I$396</definedName>
    <definedName name="IQRCompaniesH397" hidden="1">[3]Companies!$I$397:$M$397</definedName>
    <definedName name="IQRCompaniesH398" hidden="1">[3]Companies!$I$398:$M$398</definedName>
    <definedName name="IQRCompaniesH399" hidden="1">[3]Companies!$I$399:$M$399</definedName>
    <definedName name="IQRCompaniesH40" hidden="1">[2]Companies!$I$40:$M$40</definedName>
    <definedName name="IQRCompaniesH400" hidden="1">[3]Companies!$I$400</definedName>
    <definedName name="IQRCompaniesH401" hidden="1">[3]Companies!$I$401:$M$401</definedName>
    <definedName name="IQRCompaniesH402" hidden="1">[3]Companies!$I$402:$M$402</definedName>
    <definedName name="IQRCompaniesH403" hidden="1">[3]Companies!$I$403:$L$403</definedName>
    <definedName name="IQRCompaniesH404" hidden="1">[3]Companies!$I$404</definedName>
    <definedName name="IQRCompaniesH405" hidden="1">[3]Companies!$I$405:$K$405</definedName>
    <definedName name="IQRCompaniesH406" hidden="1">[3]Companies!$I$406:$M$406</definedName>
    <definedName name="IQRCompaniesH407" hidden="1">[3]Companies!$I$407</definedName>
    <definedName name="IQRCompaniesH408" hidden="1">[3]Companies!$I$408:$M$408</definedName>
    <definedName name="IQRCompaniesH409" hidden="1">[3]Companies!$I$409:$J$409</definedName>
    <definedName name="IQRCompaniesH41" hidden="1">[3]Companies!$I$41:$J$41</definedName>
    <definedName name="IQRCompaniesH410" hidden="1">[3]Companies!$I$410:$K$410</definedName>
    <definedName name="IQRCompaniesH411" hidden="1">[3]Companies!$I$411:$M$411</definedName>
    <definedName name="IQRCompaniesH412" hidden="1">[3]Companies!$I$412:$J$412</definedName>
    <definedName name="IQRCompaniesH413" hidden="1">[3]Companies!$I$413</definedName>
    <definedName name="IQRCompaniesH414" hidden="1">[3]Companies!$I$414:$J$414</definedName>
    <definedName name="IQRCompaniesH415" hidden="1">[3]Companies!$I$415:$K$415</definedName>
    <definedName name="IQRCompaniesH416" hidden="1">[3]Companies!$I$416</definedName>
    <definedName name="IQRCompaniesH417" hidden="1">[3]Companies!$I$417:$M$417</definedName>
    <definedName name="IQRCompaniesH418" hidden="1">[3]Companies!$I$418:$J$418</definedName>
    <definedName name="IQRCompaniesH419" hidden="1">[3]Companies!$I$419:$M$419</definedName>
    <definedName name="IQRCompaniesH42" hidden="1">[3]Companies!$I$42:$M$42</definedName>
    <definedName name="IQRCompaniesH420" hidden="1">[3]Companies!$I$420:$M$420</definedName>
    <definedName name="IQRCompaniesH421" hidden="1">[3]Companies!$I$421</definedName>
    <definedName name="IQRCompaniesH422" hidden="1">[3]Companies!$I$422:$J$422</definedName>
    <definedName name="IQRCompaniesH423" hidden="1">[3]Companies!$I$423:$M$423</definedName>
    <definedName name="IQRCompaniesH424" hidden="1">[3]Companies!$I$424</definedName>
    <definedName name="IQRCompaniesH425" hidden="1">[3]Companies!$I$425:$M$425</definedName>
    <definedName name="IQRCompaniesH426" hidden="1">[3]Companies!$I$426:$M$426</definedName>
    <definedName name="IQRCompaniesH427" hidden="1">[3]Companies!$I$427</definedName>
    <definedName name="IQRCompaniesH428" hidden="1">[3]Companies!$I$428</definedName>
    <definedName name="IQRCompaniesH429" hidden="1">[3]Companies!$I$429:$J$429</definedName>
    <definedName name="IQRCompaniesH43" hidden="1">[3]Companies!$I$43:$M$43</definedName>
    <definedName name="IQRCompaniesH430" hidden="1">[3]Companies!$I$430:$J$430</definedName>
    <definedName name="IQRCompaniesH431" hidden="1">[3]Companies!$I$431:$J$431</definedName>
    <definedName name="IQRCompaniesH432" hidden="1">[3]Companies!$I$432</definedName>
    <definedName name="IQRCompaniesH433" hidden="1">[3]Companies!$I$433</definedName>
    <definedName name="IQRCompaniesH434" hidden="1">[3]Companies!$I$434:$J$434</definedName>
    <definedName name="IQRCompaniesH435" hidden="1">[3]Companies!$I$435:$J$435</definedName>
    <definedName name="IQRCompaniesH436" hidden="1">[3]Companies!$I$436:$L$436</definedName>
    <definedName name="IQRCompaniesH437" hidden="1">[3]Companies!$I$437:$M$437</definedName>
    <definedName name="IQRCompaniesH438" hidden="1">[3]Companies!$I$438:$M$438</definedName>
    <definedName name="IQRCompaniesH439" hidden="1">[3]Companies!$I$439</definedName>
    <definedName name="IQRCompaniesH44" hidden="1">[2]Companies!$I$44:$M$44</definedName>
    <definedName name="IQRCompaniesH440" hidden="1">[3]Companies!$I$440</definedName>
    <definedName name="IQRCompaniesH441" hidden="1">[3]Companies!$I$441:$J$441</definedName>
    <definedName name="IQRCompaniesH442" hidden="1">[3]Companies!$I$442</definedName>
    <definedName name="IQRCompaniesH443" hidden="1">[3]Companies!$I$443:$M$443</definedName>
    <definedName name="IQRCompaniesH444" hidden="1">[3]Companies!$I$444</definedName>
    <definedName name="IQRCompaniesH445" hidden="1">[3]Companies!$I$445</definedName>
    <definedName name="IQRCompaniesH446" hidden="1">[3]Companies!$I$446:$M$446</definedName>
    <definedName name="IQRCompaniesH447" hidden="1">[3]Companies!$I$447:$K$447</definedName>
    <definedName name="IQRCompaniesH448" hidden="1">[3]Companies!$I$448:$J$448</definedName>
    <definedName name="IQRCompaniesH449" hidden="1">[3]Companies!$I$449:$M$449</definedName>
    <definedName name="IQRCompaniesH45" hidden="1">[2]Companies!$I$45:$M$45</definedName>
    <definedName name="IQRCompaniesH450" hidden="1">[3]Companies!$I$450:$M$450</definedName>
    <definedName name="IQRCompaniesH451" hidden="1">[3]Companies!$I$451:$M$451</definedName>
    <definedName name="IQRCompaniesH452" hidden="1">[3]Companies!$I$452:$M$452</definedName>
    <definedName name="IQRCompaniesH453" hidden="1">[3]Companies!$I$453</definedName>
    <definedName name="IQRCompaniesH454" hidden="1">[3]Companies!$I$454:$J$454</definedName>
    <definedName name="IQRCompaniesH455" hidden="1">[3]Companies!$I$455:$J$455</definedName>
    <definedName name="IQRCompaniesH456" hidden="1">[3]Companies!$I$456</definedName>
    <definedName name="IQRCompaniesH457" hidden="1">[3]Companies!$I$457:$M$457</definedName>
    <definedName name="IQRCompaniesH458" hidden="1">[3]Companies!$I$458:$J$458</definedName>
    <definedName name="IQRCompaniesH459" hidden="1">[3]Companies!$I$459:$J$459</definedName>
    <definedName name="IQRCompaniesH46" hidden="1">[2]Companies!$I$46:$M$46</definedName>
    <definedName name="IQRCompaniesH460" hidden="1">[3]Companies!$I$460</definedName>
    <definedName name="IQRCompaniesH461" hidden="1">[3]Companies!$I$461</definedName>
    <definedName name="IQRCompaniesH462" hidden="1">[3]Companies!$I$462</definedName>
    <definedName name="IQRCompaniesH463" hidden="1">[3]Companies!$I$463:$J$463</definedName>
    <definedName name="IQRCompaniesH464" hidden="1">[3]Companies!$I$464:$L$464</definedName>
    <definedName name="IQRCompaniesH465" hidden="1">[3]Companies!$I$465:$J$465</definedName>
    <definedName name="IQRCompaniesH466" hidden="1">[3]Companies!$I$466:$K$466</definedName>
    <definedName name="IQRCompaniesH467" hidden="1">[3]Companies!$I$467</definedName>
    <definedName name="IQRCompaniesH468" hidden="1">[3]Companies!$I$468:$K$468</definedName>
    <definedName name="IQRCompaniesH469" hidden="1">[3]Companies!$I$469</definedName>
    <definedName name="IQRCompaniesH47" hidden="1">[2]Companies!$I$47:$J$47</definedName>
    <definedName name="IQRCompaniesH470" hidden="1">[3]Companies!$I$470:$J$470</definedName>
    <definedName name="IQRCompaniesH471" hidden="1">[3]Companies!$I$471</definedName>
    <definedName name="IQRCompaniesH472" hidden="1">[3]Companies!$I$472</definedName>
    <definedName name="IQRCompaniesH473" hidden="1">[3]Companies!$I$473</definedName>
    <definedName name="IQRCompaniesH474" hidden="1">[3]Companies!$I$474:$M$474</definedName>
    <definedName name="IQRCompaniesH475" hidden="1">[3]Companies!$I$475:$J$475</definedName>
    <definedName name="IQRCompaniesH476" hidden="1">[3]Companies!$I$476:$M$476</definedName>
    <definedName name="IQRCompaniesH477" hidden="1">[3]Companies!$I$477:$K$477</definedName>
    <definedName name="IQRCompaniesH478" hidden="1">[3]Companies!$I$478</definedName>
    <definedName name="IQRCompaniesH479" hidden="1">[3]Companies!$I$479:$K$479</definedName>
    <definedName name="IQRCompaniesH48" hidden="1">[2]Companies!$I$48:$M$48</definedName>
    <definedName name="IQRCompaniesH480" hidden="1">[3]Companies!$I$480</definedName>
    <definedName name="IQRCompaniesH481" hidden="1">[3]Companies!$I$481</definedName>
    <definedName name="IQRCompaniesH482" hidden="1">[3]Companies!$I$482</definedName>
    <definedName name="IQRCompaniesH483" hidden="1">[3]Companies!$I$483</definedName>
    <definedName name="IQRCompaniesH484" hidden="1">[3]Companies!$I$484:$L$484</definedName>
    <definedName name="IQRCompaniesH485" hidden="1">[3]Companies!$I$485:$L$485</definedName>
    <definedName name="IQRCompaniesH486" hidden="1">[3]Companies!$I$486:$K$486</definedName>
    <definedName name="IQRCompaniesH487" hidden="1">[3]Companies!$I$487</definedName>
    <definedName name="IQRCompaniesH488" hidden="1">[3]Companies!$I$488</definedName>
    <definedName name="IQRCompaniesH489" hidden="1">[3]Companies!$I$489:$J$489</definedName>
    <definedName name="IQRCompaniesH49" hidden="1">[2]Companies!$I$49:$M$49</definedName>
    <definedName name="IQRCompaniesH490" hidden="1">[3]Companies!$I$490:$J$490</definedName>
    <definedName name="IQRCompaniesH491" hidden="1">[3]Companies!$I$491</definedName>
    <definedName name="IQRCompaniesH492" hidden="1">[3]Companies!$I$492</definedName>
    <definedName name="IQRCompaniesH493" hidden="1">[3]Companies!$I$493:$J$493</definedName>
    <definedName name="IQRCompaniesH494" hidden="1">[3]Companies!$I$494</definedName>
    <definedName name="IQRCompaniesH495" hidden="1">[3]Companies!$I$495</definedName>
    <definedName name="IQRCompaniesH496" hidden="1">[3]Companies!$I$496</definedName>
    <definedName name="IQRCompaniesH497" hidden="1">[3]Companies!$I$497:$M$497</definedName>
    <definedName name="IQRCompaniesH498" hidden="1">[3]Companies!$I$498</definedName>
    <definedName name="IQRCompaniesH499" hidden="1">[3]Companies!$I$499:$M$499</definedName>
    <definedName name="IQRCompaniesH50" hidden="1">[3]Companies!$I$50</definedName>
    <definedName name="IQRCompaniesH500" hidden="1">[3]Companies!$I$500:$M$500</definedName>
    <definedName name="IQRCompaniesH501" hidden="1">[3]Companies!$I$501</definedName>
    <definedName name="IQRCompaniesH502" hidden="1">[3]Companies!$I$502</definedName>
    <definedName name="IQRCompaniesH503" hidden="1">[3]Companies!$I$503:$J$503</definedName>
    <definedName name="IQRCompaniesH504" hidden="1">[3]Companies!$I$504</definedName>
    <definedName name="IQRCompaniesH505" hidden="1">[3]Companies!$I$505</definedName>
    <definedName name="IQRCompaniesH506" hidden="1">[3]Companies!$I$506:$M$506</definedName>
    <definedName name="IQRCompaniesH507" hidden="1">[3]Companies!$I$507:$M$507</definedName>
    <definedName name="IQRCompaniesH508" hidden="1">[3]Companies!$I$508:$J$508</definedName>
    <definedName name="IQRCompaniesH509" hidden="1">[3]Companies!$I$509</definedName>
    <definedName name="IQRCompaniesH51" hidden="1">[2]Companies!$I$51:$M$51</definedName>
    <definedName name="IQRCompaniesH510" hidden="1">[3]Companies!$I$510:$J$510</definedName>
    <definedName name="IQRCompaniesH511" hidden="1">[3]Companies!$I$511:$M$511</definedName>
    <definedName name="IQRCompaniesH512" hidden="1">[3]Companies!$I$512</definedName>
    <definedName name="IQRCompaniesH513" hidden="1">[3]Companies!$I$513</definedName>
    <definedName name="IQRCompaniesH514" hidden="1">[3]Companies!$I$514</definedName>
    <definedName name="IQRCompaniesH515" hidden="1">[3]Companies!$I$515:$J$515</definedName>
    <definedName name="IQRCompaniesH516" hidden="1">[3]Companies!$I$516</definedName>
    <definedName name="IQRCompaniesH517" hidden="1">[3]Companies!$I$517:$K$517</definedName>
    <definedName name="IQRCompaniesH518" hidden="1">[3]Companies!$I$518:$M$518</definedName>
    <definedName name="IQRCompaniesH519" hidden="1">[3]Companies!$I$519</definedName>
    <definedName name="IQRCompaniesH52" hidden="1">[2]Companies!$I$52:$L$52</definedName>
    <definedName name="IQRCompaniesH520" hidden="1">[3]Companies!$I$520</definedName>
    <definedName name="IQRCompaniesH521" hidden="1">[3]Companies!$I$521</definedName>
    <definedName name="IQRCompaniesH522" hidden="1">[3]Companies!$I$522</definedName>
    <definedName name="IQRCompaniesH523" hidden="1">[3]Companies!$I$523</definedName>
    <definedName name="IQRCompaniesH524" hidden="1">[3]Companies!$I$524:$J$524</definedName>
    <definedName name="IQRCompaniesH525" hidden="1">[3]Companies!$I$525:$M$525</definedName>
    <definedName name="IQRCompaniesH526" hidden="1">[3]Companies!$I$526</definedName>
    <definedName name="IQRCompaniesH527" hidden="1">[3]Companies!$I$527</definedName>
    <definedName name="IQRCompaniesH528" hidden="1">[3]Companies!$I$528</definedName>
    <definedName name="IQRCompaniesH529" hidden="1">[3]Companies!$I$529</definedName>
    <definedName name="IQRCompaniesH53" hidden="1">[2]Companies!$I$53:$M$53</definedName>
    <definedName name="IQRCompaniesH530" hidden="1">[3]Companies!$I$530</definedName>
    <definedName name="IQRCompaniesH531" hidden="1">[3]Companies!$I$531</definedName>
    <definedName name="IQRCompaniesH532" hidden="1">[3]Companies!$I$532:$J$532</definedName>
    <definedName name="IQRCompaniesH533" hidden="1">[3]Companies!$I$533</definedName>
    <definedName name="IQRCompaniesH534" hidden="1">[3]Companies!$I$534:$K$534</definedName>
    <definedName name="IQRCompaniesH535" hidden="1">[3]Companies!$I$535</definedName>
    <definedName name="IQRCompaniesH536" hidden="1">[3]Companies!$I$536:$L$536</definedName>
    <definedName name="IQRCompaniesH537" hidden="1">[3]Companies!$I$537:$M$537</definedName>
    <definedName name="IQRCompaniesH538" hidden="1">[3]Companies!$I$538</definedName>
    <definedName name="IQRCompaniesH539" hidden="1">[3]Companies!$I$539:$M$539</definedName>
    <definedName name="IQRCompaniesH54" hidden="1">[3]Companies!$I$54:$J$54</definedName>
    <definedName name="IQRCompaniesH540" hidden="1">[3]Companies!$I$540:$M$540</definedName>
    <definedName name="IQRCompaniesH541" hidden="1">[3]Companies!$I$541:$J$541</definedName>
    <definedName name="IQRCompaniesH542" hidden="1">[3]Companies!$I$542:$J$542</definedName>
    <definedName name="IQRCompaniesH543" hidden="1">[3]Companies!$I$543:$K$543</definedName>
    <definedName name="IQRCompaniesH544" hidden="1">[3]Companies!$I$544</definedName>
    <definedName name="IQRCompaniesH545" hidden="1">[3]Companies!$I$545:$K$545</definedName>
    <definedName name="IQRCompaniesH546" hidden="1">[3]Companies!$I$546</definedName>
    <definedName name="IQRCompaniesH547" hidden="1">[3]Companies!$I$547:$J$547</definedName>
    <definedName name="IQRCompaniesH548" hidden="1">[3]Companies!$I$548:$M$548</definedName>
    <definedName name="IQRCompaniesH549" hidden="1">[3]Companies!$I$549</definedName>
    <definedName name="IQRCompaniesH55" hidden="1">[2]Companies!$I$55:$M$55</definedName>
    <definedName name="IQRCompaniesH550" hidden="1">[3]Companies!$I$550:$K$550</definedName>
    <definedName name="IQRCompaniesH551" hidden="1">[3]Companies!$I$551</definedName>
    <definedName name="IQRCompaniesH552" hidden="1">[3]Companies!$I$552:$M$552</definedName>
    <definedName name="IQRCompaniesH553" hidden="1">[3]Companies!$I$553</definedName>
    <definedName name="IQRCompaniesH554" hidden="1">[3]Companies!$I$554</definedName>
    <definedName name="IQRCompaniesH555" hidden="1">[3]Companies!$I$555:$J$555</definedName>
    <definedName name="IQRCompaniesH556" hidden="1">[3]Companies!$I$556</definedName>
    <definedName name="IQRCompaniesH557" hidden="1">[3]Companies!$I$557:$J$557</definedName>
    <definedName name="IQRCompaniesH558" hidden="1">[3]Companies!$I$558</definedName>
    <definedName name="IQRCompaniesH559" hidden="1">[3]Companies!$I$559:$J$559</definedName>
    <definedName name="IQRCompaniesH56" hidden="1">[2]Companies!$I$56:$M$56</definedName>
    <definedName name="IQRCompaniesH560" hidden="1">[3]Companies!$I$560:$M$560</definedName>
    <definedName name="IQRCompaniesH561" hidden="1">[3]Companies!$I$561</definedName>
    <definedName name="IQRCompaniesH562" hidden="1">[3]Companies!$I$562:$M$562</definedName>
    <definedName name="IQRCompaniesH563" hidden="1">[3]Companies!$I$563:$L$563</definedName>
    <definedName name="IQRCompaniesH564" hidden="1">[3]Companies!$I$564:$K$564</definedName>
    <definedName name="IQRCompaniesH565" hidden="1">[3]Companies!$I$565:$J$565</definedName>
    <definedName name="IQRCompaniesH566" hidden="1">[3]Companies!$I$566:$M$566</definedName>
    <definedName name="IQRCompaniesH567" hidden="1">[3]Companies!$I$567</definedName>
    <definedName name="IQRCompaniesH568" hidden="1">[3]Companies!$I$568</definedName>
    <definedName name="IQRCompaniesH569" hidden="1">[3]Companies!$I$569:$L$569</definedName>
    <definedName name="IQRCompaniesH57" hidden="1">[2]Companies!$I$57:$M$57</definedName>
    <definedName name="IQRCompaniesH570" hidden="1">[3]Companies!$I$570:$J$570</definedName>
    <definedName name="IQRCompaniesH571" hidden="1">[3]Companies!$I$571</definedName>
    <definedName name="IQRCompaniesH572" hidden="1">[3]Companies!$I$572:$M$572</definedName>
    <definedName name="IQRCompaniesH573" hidden="1">[3]Companies!$I$573:$L$573</definedName>
    <definedName name="IQRCompaniesH574" hidden="1">[3]Companies!$I$574:$M$574</definedName>
    <definedName name="IQRCompaniesH575" hidden="1">[3]Companies!$I$575</definedName>
    <definedName name="IQRCompaniesH576" hidden="1">[3]Companies!$I$576</definedName>
    <definedName name="IQRCompaniesH577" hidden="1">[3]Companies!$I$577</definedName>
    <definedName name="IQRCompaniesH578" hidden="1">[3]Companies!$I$578</definedName>
    <definedName name="IQRCompaniesH579" hidden="1">[3]Companies!$I$579:$J$579</definedName>
    <definedName name="IQRCompaniesH58" hidden="1">[2]Companies!$I$58</definedName>
    <definedName name="IQRCompaniesH580" hidden="1">[3]Companies!$I$580:$K$580</definedName>
    <definedName name="IQRCompaniesH581" hidden="1">[3]Companies!$I$581</definedName>
    <definedName name="IQRCompaniesH582" hidden="1">[3]Companies!$I$582:$J$582</definedName>
    <definedName name="IQRCompaniesH583" hidden="1">[3]Companies!$I$583:$M$583</definedName>
    <definedName name="IQRCompaniesH584" hidden="1">[3]Companies!$I$584:$M$584</definedName>
    <definedName name="IQRCompaniesH585" hidden="1">[3]Companies!$I$585:$M$585</definedName>
    <definedName name="IQRCompaniesH586" hidden="1">[3]Companies!$I$586:$M$586</definedName>
    <definedName name="IQRCompaniesH587" hidden="1">[3]Companies!$I$587</definedName>
    <definedName name="IQRCompaniesH588" hidden="1">[3]Companies!$I$588</definedName>
    <definedName name="IQRCompaniesH589" hidden="1">[3]Companies!$I$589</definedName>
    <definedName name="IQRCompaniesH59" hidden="1">[2]Companies!$I$59:$K$59</definedName>
    <definedName name="IQRCompaniesH590" hidden="1">[3]Companies!$I$590:$M$590</definedName>
    <definedName name="IQRCompaniesH591" hidden="1">[3]Companies!$I$591:$J$591</definedName>
    <definedName name="IQRCompaniesH592" hidden="1">[3]Companies!$I$592</definedName>
    <definedName name="IQRCompaniesH593" hidden="1">[3]Companies!$I$593</definedName>
    <definedName name="IQRCompaniesH594" hidden="1">[3]Companies!$I$594</definedName>
    <definedName name="IQRCompaniesH595" hidden="1">[3]Companies!$I$595:$L$595</definedName>
    <definedName name="IQRCompaniesH596" hidden="1">[3]Companies!$I$596</definedName>
    <definedName name="IQRCompaniesH597" hidden="1">[3]Companies!$I$597:$J$597</definedName>
    <definedName name="IQRCompaniesH598" hidden="1">[3]Companies!$I$598:$J$598</definedName>
    <definedName name="IQRCompaniesH599" hidden="1">[3]Companies!$I$599:$M$599</definedName>
    <definedName name="IQRCompaniesH60" hidden="1">[2]Companies!$I$60:$M$60</definedName>
    <definedName name="IQRCompaniesH600" hidden="1">[3]Companies!$I$600</definedName>
    <definedName name="IQRCompaniesH601" hidden="1">[3]Companies!$I$601</definedName>
    <definedName name="IQRCompaniesH602" hidden="1">[3]Companies!$I$602:$M$602</definedName>
    <definedName name="IQRCompaniesH603" hidden="1">[3]Companies!$I$603:$M$603</definedName>
    <definedName name="IQRCompaniesH604" hidden="1">[3]Companies!$I$604:$M$604</definedName>
    <definedName name="IQRCompaniesH605" hidden="1">[3]Companies!$I$605:$K$605</definedName>
    <definedName name="IQRCompaniesH606" hidden="1">[3]Companies!$I$606:$K$606</definedName>
    <definedName name="IQRCompaniesH607" hidden="1">[3]Companies!$I$607:$L$607</definedName>
    <definedName name="IQRCompaniesH608" hidden="1">[3]Companies!$I$608</definedName>
    <definedName name="IQRCompaniesH609" hidden="1">[3]Companies!$I$609:$M$609</definedName>
    <definedName name="IQRCompaniesH61" hidden="1">[2]Companies!$I$61:$M$61</definedName>
    <definedName name="IQRCompaniesH610" hidden="1">[3]Companies!$I$610:$M$610</definedName>
    <definedName name="IQRCompaniesH611" hidden="1">[3]Companies!$I$611:$M$611</definedName>
    <definedName name="IQRCompaniesH612" hidden="1">[3]Companies!$I$612</definedName>
    <definedName name="IQRCompaniesH613" hidden="1">[3]Companies!$I$613:$J$613</definedName>
    <definedName name="IQRCompaniesH614" hidden="1">[3]Companies!$I$614:$L$614</definedName>
    <definedName name="IQRCompaniesH615" hidden="1">[3]Companies!$I$615:$J$615</definedName>
    <definedName name="IQRCompaniesH616" hidden="1">[3]Companies!$I$616</definedName>
    <definedName name="IQRCompaniesH617" hidden="1">[3]Companies!$I$617</definedName>
    <definedName name="IQRCompaniesH618" hidden="1">[3]Companies!$I$618:$M$618</definedName>
    <definedName name="IQRCompaniesH619" hidden="1">[3]Companies!$I$619:$L$619</definedName>
    <definedName name="IQRCompaniesH62" hidden="1">[2]Companies!$I$62:$M$62</definedName>
    <definedName name="IQRCompaniesH620" hidden="1">[3]Companies!$I$620:$J$620</definedName>
    <definedName name="IQRCompaniesH621" hidden="1">[3]Companies!$I$621:$J$621</definedName>
    <definedName name="IQRCompaniesH622" hidden="1">[3]Companies!$I$622:$J$622</definedName>
    <definedName name="IQRCompaniesH623" hidden="1">[3]Companies!$I$623:$L$623</definedName>
    <definedName name="IQRCompaniesH624" hidden="1">[3]Companies!$I$624</definedName>
    <definedName name="IQRCompaniesH625" hidden="1">[3]Companies!$I$625</definedName>
    <definedName name="IQRCompaniesH626" hidden="1">[3]Companies!$I$626:$M$626</definedName>
    <definedName name="IQRCompaniesH627" hidden="1">[3]Companies!$I$627:$M$627</definedName>
    <definedName name="IQRCompaniesH628" hidden="1">[3]Companies!$I$628:$M$628</definedName>
    <definedName name="IQRCompaniesH629" hidden="1">[3]Companies!$I$629:$K$629</definedName>
    <definedName name="IQRCompaniesH63" hidden="1">[2]Companies!$I$63</definedName>
    <definedName name="IQRCompaniesH630" hidden="1">[3]Companies!$I$630:$M$630</definedName>
    <definedName name="IQRCompaniesH631" hidden="1">[3]Companies!$I$631:$M$631</definedName>
    <definedName name="IQRCompaniesH632" hidden="1">[3]Companies!$I$632:$M$632</definedName>
    <definedName name="IQRCompaniesH633" hidden="1">[3]Companies!$I$633:$M$633</definedName>
    <definedName name="IQRCompaniesH634" hidden="1">[3]Companies!$I$634</definedName>
    <definedName name="IQRCompaniesH635" hidden="1">[3]Companies!$I$635:$M$635</definedName>
    <definedName name="IQRCompaniesH636" hidden="1">[3]Companies!$I$636</definedName>
    <definedName name="IQRCompaniesH637" hidden="1">[3]Companies!$I$637:$K$637</definedName>
    <definedName name="IQRCompaniesH638" hidden="1">[3]Companies!$I$638:$K$638</definedName>
    <definedName name="IQRCompaniesH639" hidden="1">[3]Companies!$I$639:$J$639</definedName>
    <definedName name="IQRCompaniesH64" hidden="1">[2]Companies!$I$64:$K$64</definedName>
    <definedName name="IQRCompaniesH640" hidden="1">[3]Companies!$I$640:$M$640</definedName>
    <definedName name="IQRCompaniesH641" hidden="1">[3]Companies!$I$641</definedName>
    <definedName name="IQRCompaniesH642" hidden="1">[3]Companies!$I$642:$J$642</definedName>
    <definedName name="IQRCompaniesH643" hidden="1">[3]Companies!$I$643</definedName>
    <definedName name="IQRCompaniesH644" hidden="1">[3]Companies!$I$644:$M$644</definedName>
    <definedName name="IQRCompaniesH645" hidden="1">[3]Companies!$I$645:$J$645</definedName>
    <definedName name="IQRCompaniesH646" hidden="1">[3]Companies!$I$646:$M$646</definedName>
    <definedName name="IQRCompaniesH647" hidden="1">[3]Companies!$I$647:$M$647</definedName>
    <definedName name="IQRCompaniesH648" hidden="1">[3]Companies!$I$648:$J$648</definedName>
    <definedName name="IQRCompaniesH649" hidden="1">[3]Companies!$I$649:$M$649</definedName>
    <definedName name="IQRCompaniesH65" hidden="1">[2]Companies!$I$65:$M$65</definedName>
    <definedName name="IQRCompaniesH650" hidden="1">[3]Companies!$I$650</definedName>
    <definedName name="IQRCompaniesH651" hidden="1">[3]Companies!$I$651:$M$651</definedName>
    <definedName name="IQRCompaniesH652" hidden="1">[3]Companies!$I$652:$J$652</definedName>
    <definedName name="IQRCompaniesH653" hidden="1">[3]Companies!$I$653</definedName>
    <definedName name="IQRCompaniesH654" hidden="1">[3]Companies!$I$654:$K$654</definedName>
    <definedName name="IQRCompaniesH655" hidden="1">[3]Companies!$I$655:$M$655</definedName>
    <definedName name="IQRCompaniesH656" hidden="1">[3]Companies!$I$656:$L$656</definedName>
    <definedName name="IQRCompaniesH657" hidden="1">[3]Companies!$I$657</definedName>
    <definedName name="IQRCompaniesH658" hidden="1">[3]Companies!$I$658:$J$658</definedName>
    <definedName name="IQRCompaniesH659" hidden="1">[3]Companies!$I$659</definedName>
    <definedName name="IQRCompaniesH66" hidden="1">[2]Companies!$I$66:$M$66</definedName>
    <definedName name="IQRCompaniesH660" hidden="1">[3]Companies!$I$660:$M$660</definedName>
    <definedName name="IQRCompaniesH661" hidden="1">[3]Companies!$I$661</definedName>
    <definedName name="IQRCompaniesH662" hidden="1">[3]Companies!$I$662</definedName>
    <definedName name="IQRCompaniesH663" hidden="1">[3]Companies!$I$663:$J$663</definedName>
    <definedName name="IQRCompaniesH664" hidden="1">[3]Companies!$I$664:$J$664</definedName>
    <definedName name="IQRCompaniesH665" hidden="1">[3]Companies!$I$665:$M$665</definedName>
    <definedName name="IQRCompaniesH666" hidden="1">[3]Companies!$I$666:$L$666</definedName>
    <definedName name="IQRCompaniesH667" hidden="1">[3]Companies!$I$667:$J$667</definedName>
    <definedName name="IQRCompaniesH668" hidden="1">[3]Companies!$I$668:$K$668</definedName>
    <definedName name="IQRCompaniesH669" hidden="1">[3]Companies!$I$669</definedName>
    <definedName name="IQRCompaniesH67" hidden="1">[2]Companies!$I$67</definedName>
    <definedName name="IQRCompaniesH670" hidden="1">[3]Companies!$I$670</definedName>
    <definedName name="IQRCompaniesH671" hidden="1">[3]Companies!$I$671</definedName>
    <definedName name="IQRCompaniesH672" hidden="1">[3]Companies!$I$672</definedName>
    <definedName name="IQRCompaniesH673" hidden="1">[3]Companies!$I$673:$J$673</definedName>
    <definedName name="IQRCompaniesH674" hidden="1">[3]Companies!$I$674:$M$674</definedName>
    <definedName name="IQRCompaniesH675" hidden="1">[3]Companies!$I$675</definedName>
    <definedName name="IQRCompaniesH676" hidden="1">[3]Companies!$I$676:$J$676</definedName>
    <definedName name="IQRCompaniesH677" hidden="1">[3]Companies!$I$677</definedName>
    <definedName name="IQRCompaniesH678" hidden="1">[3]Companies!$I$678:$M$678</definedName>
    <definedName name="IQRCompaniesH679" hidden="1">[3]Companies!$I$679</definedName>
    <definedName name="IQRCompaniesH68" hidden="1">[2]Companies!$I$68:$K$68</definedName>
    <definedName name="IQRCompaniesH680" hidden="1">[3]Companies!$I$680:$K$680</definedName>
    <definedName name="IQRCompaniesH681" hidden="1">[3]Companies!$I$681</definedName>
    <definedName name="IQRCompaniesH682" hidden="1">[3]Companies!$I$682:$J$682</definedName>
    <definedName name="IQRCompaniesH683" hidden="1">[3]Companies!$I$683</definedName>
    <definedName name="IQRCompaniesH684" hidden="1">[3]Companies!$I$684:$M$684</definedName>
    <definedName name="IQRCompaniesH685" hidden="1">[3]Companies!$I$685</definedName>
    <definedName name="IQRCompaniesH686" hidden="1">[3]Companies!$I$686:$M$686</definedName>
    <definedName name="IQRCompaniesH687" hidden="1">[3]Companies!$I$687:$M$687</definedName>
    <definedName name="IQRCompaniesH688" hidden="1">[3]Companies!$I$688:$J$688</definedName>
    <definedName name="IQRCompaniesH689" hidden="1">[3]Companies!$I$689:$J$689</definedName>
    <definedName name="IQRCompaniesH69" hidden="1">[2]Companies!$I$69:$M$69</definedName>
    <definedName name="IQRCompaniesH690" hidden="1">[3]Companies!$I$690</definedName>
    <definedName name="IQRCompaniesH691" hidden="1">[3]Companies!$I$691:$L$691</definedName>
    <definedName name="IQRCompaniesH692" hidden="1">[3]Companies!$I$692:$J$692</definedName>
    <definedName name="IQRCompaniesH693" hidden="1">[3]Companies!$I$693</definedName>
    <definedName name="IQRCompaniesH694" hidden="1">[3]Companies!$I$694:$J$694</definedName>
    <definedName name="IQRCompaniesH695" hidden="1">[3]Companies!$I$695:$K$695</definedName>
    <definedName name="IQRCompaniesH696" hidden="1">[3]Companies!$I$696</definedName>
    <definedName name="IQRCompaniesH697" hidden="1">[3]Companies!$I$697:$M$697</definedName>
    <definedName name="IQRCompaniesH698" hidden="1">[3]Companies!$I$698:$J$698</definedName>
    <definedName name="IQRCompaniesH699" hidden="1">[3]Companies!$I$699:$M$699</definedName>
    <definedName name="IQRCompaniesH70" hidden="1">[2]Companies!$I$70:$M$70</definedName>
    <definedName name="IQRCompaniesH700" hidden="1">[3]Companies!$I$700</definedName>
    <definedName name="IQRCompaniesH701" hidden="1">[3]Companies!$I$701:$K$701</definedName>
    <definedName name="IQRCompaniesH702" hidden="1">[3]Companies!$I$702</definedName>
    <definedName name="IQRCompaniesH703" hidden="1">[3]Companies!$I$703:$L$703</definedName>
    <definedName name="IQRCompaniesH704" hidden="1">[3]Companies!$I$704:$J$704</definedName>
    <definedName name="IQRCompaniesH705" hidden="1">[3]Companies!$I$705</definedName>
    <definedName name="IQRCompaniesH706" hidden="1">[3]Companies!$I$706:$M$706</definedName>
    <definedName name="IQRCompaniesH707" hidden="1">[3]Companies!$I$707</definedName>
    <definedName name="IQRCompaniesH708" hidden="1">[3]Companies!$I$708:$M$708</definedName>
    <definedName name="IQRCompaniesH709" hidden="1">[3]Companies!$I$709:$M$709</definedName>
    <definedName name="IQRCompaniesH71" hidden="1">[2]Companies!$I$71:$M$71</definedName>
    <definedName name="IQRCompaniesH710" hidden="1">[3]Companies!$I$710:$K$710</definedName>
    <definedName name="IQRCompaniesH711" hidden="1">[3]Companies!$I$711</definedName>
    <definedName name="IQRCompaniesH712" hidden="1">[3]Companies!$I$712:$J$712</definedName>
    <definedName name="IQRCompaniesH713" hidden="1">[3]Companies!$I$713:$L$713</definedName>
    <definedName name="IQRCompaniesH714" hidden="1">[3]Companies!$I$714:$M$714</definedName>
    <definedName name="IQRCompaniesH715" hidden="1">[3]Companies!$I$715:$M$715</definedName>
    <definedName name="IQRCompaniesH716" hidden="1">[3]Companies!$I$716:$M$716</definedName>
    <definedName name="IQRCompaniesH717" hidden="1">[3]Companies!$I$717</definedName>
    <definedName name="IQRCompaniesH718" hidden="1">[3]Companies!$I$718</definedName>
    <definedName name="IQRCompaniesH719" hidden="1">[3]Companies!$I$719:$M$719</definedName>
    <definedName name="IQRCompaniesH72" hidden="1">[2]Companies!$I$72:$M$72</definedName>
    <definedName name="IQRCompaniesH720" hidden="1">[3]Companies!$I$720:$J$720</definedName>
    <definedName name="IQRCompaniesH721" hidden="1">[3]Companies!$I$721:$J$721</definedName>
    <definedName name="IQRCompaniesH722" hidden="1">[3]Companies!$I$722</definedName>
    <definedName name="IQRCompaniesH723" hidden="1">[3]Companies!$I$723:$J$723</definedName>
    <definedName name="IQRCompaniesH724" hidden="1">[3]Companies!$I$724</definedName>
    <definedName name="IQRCompaniesH725" hidden="1">[3]Companies!$I$725:$M$725</definedName>
    <definedName name="IQRCompaniesH726" hidden="1">[3]Companies!$I$726:$M$726</definedName>
    <definedName name="IQRCompaniesH728" hidden="1">[3]Companies!$I$728:$M$728</definedName>
    <definedName name="IQRCompaniesH729" hidden="1">[3]Companies!$I$729:$K$729</definedName>
    <definedName name="IQRCompaniesH73" hidden="1">[2]Companies!$I$73:$M$73</definedName>
    <definedName name="IQRCompaniesH730" hidden="1">[3]Companies!$I$730:$M$730</definedName>
    <definedName name="IQRCompaniesH731" hidden="1">[3]Companies!$I$731:$M$731</definedName>
    <definedName name="IQRCompaniesH732" hidden="1">[3]Companies!$I$732:$M$732</definedName>
    <definedName name="IQRCompaniesH733" hidden="1">[3]Companies!$I$733:$M$733</definedName>
    <definedName name="IQRCompaniesH734" hidden="1">[3]Companies!$I$734:$M$734</definedName>
    <definedName name="IQRCompaniesH735" hidden="1">[3]Companies!$I$735</definedName>
    <definedName name="IQRCompaniesH736" hidden="1">[3]Companies!$I$736</definedName>
    <definedName name="IQRCompaniesH737" hidden="1">[3]Companies!$I$737:$K$737</definedName>
    <definedName name="IQRCompaniesH738" hidden="1">[3]Companies!$I$738:$K$738</definedName>
    <definedName name="IQRCompaniesH739" hidden="1">[3]Companies!$I$739:$J$739</definedName>
    <definedName name="IQRCompaniesH74" hidden="1">[2]Companies!$I$74</definedName>
    <definedName name="IQRCompaniesH740" hidden="1">[3]Companies!$I$740:$M$740</definedName>
    <definedName name="IQRCompaniesH741" hidden="1">[3]Companies!$I$741</definedName>
    <definedName name="IQRCompaniesH743" hidden="1">[3]Companies!$I$743</definedName>
    <definedName name="IQRCompaniesH746" hidden="1">[3]Companies!$I$746:$M$746</definedName>
    <definedName name="IQRCompaniesH747" hidden="1">[3]Companies!$I$747:$J$747</definedName>
    <definedName name="IQRCompaniesH748" hidden="1">[3]Companies!$I$748:$M$748</definedName>
    <definedName name="IQRCompaniesH749" hidden="1">[3]Companies!$I$749:$M$749</definedName>
    <definedName name="IQRCompaniesH75" hidden="1">[2]Companies!$I$75:$M$75</definedName>
    <definedName name="IQRCompaniesH750" hidden="1">[3]Companies!$I$750:$J$750</definedName>
    <definedName name="IQRCompaniesH751" hidden="1">[3]Companies!$I$751:$M$751</definedName>
    <definedName name="IQRCompaniesH754" hidden="1">[3]Companies!$I$754</definedName>
    <definedName name="IQRCompaniesH755" hidden="1">[3]Companies!$I$755:$J$755</definedName>
    <definedName name="IQRCompaniesH756" hidden="1">[3]Companies!$I$756:$M$756</definedName>
    <definedName name="IQRCompaniesH757" hidden="1">[3]Companies!$I$757:$J$757</definedName>
    <definedName name="IQRCompaniesH758" hidden="1">[3]Companies!$I$758</definedName>
    <definedName name="IQRCompaniesH759" hidden="1">[3]Companies!$I$759:$M$759</definedName>
    <definedName name="IQRCompaniesH76" hidden="1">[2]Companies!$I$76:$M$76</definedName>
    <definedName name="IQRCompaniesH760" hidden="1">[3]Companies!$I$760:$L$760</definedName>
    <definedName name="IQRCompaniesH762" hidden="1">[3]Companies!$I$762</definedName>
    <definedName name="IQRCompaniesH763" hidden="1">[3]Companies!$I$763</definedName>
    <definedName name="IQRCompaniesH764" hidden="1">[3]Companies!$I$764:$J$764</definedName>
    <definedName name="IQRCompaniesH766" hidden="1">[3]Companies!$I$766</definedName>
    <definedName name="IQRCompaniesH767" hidden="1">[3]Companies!$I$767</definedName>
    <definedName name="IQRCompaniesH768" hidden="1">[3]Companies!$I$768</definedName>
    <definedName name="IQRCompaniesH769" hidden="1">[3]Companies!$I$769:$J$769</definedName>
    <definedName name="IQRCompaniesH77" hidden="1">[2]Companies!$I$77:$M$77</definedName>
    <definedName name="IQRCompaniesH770" hidden="1">[3]Companies!$I$770:$J$770</definedName>
    <definedName name="IQRCompaniesH773" hidden="1">[3]Companies!$I$773:$M$773</definedName>
    <definedName name="IQRCompaniesH774" hidden="1">[3]Companies!$I$774:$L$774</definedName>
    <definedName name="IQRCompaniesH775" hidden="1">[3]Companies!$I$775:$J$775</definedName>
    <definedName name="IQRCompaniesH776" hidden="1">[3]Companies!$I$776:$K$776</definedName>
    <definedName name="IQRCompaniesH777" hidden="1">[3]Companies!$I$777</definedName>
    <definedName name="IQRCompaniesH778" hidden="1">[3]Companies!$I$778</definedName>
    <definedName name="IQRCompaniesH78" hidden="1">[2]Companies!$I$78:$K$78</definedName>
    <definedName name="IQRCompaniesH780" hidden="1">[3]Companies!$I$780</definedName>
    <definedName name="IQRCompaniesH782" hidden="1">[3]Companies!$I$782</definedName>
    <definedName name="IQRCompaniesH783" hidden="1">[3]Companies!$I$783:$J$783</definedName>
    <definedName name="IQRCompaniesH784" hidden="1">[3]Companies!$I$784:$M$784</definedName>
    <definedName name="IQRCompaniesH785" hidden="1">[3]Companies!$I$785</definedName>
    <definedName name="IQRCompaniesH787" hidden="1">[3]Companies!$I$787:$M$787</definedName>
    <definedName name="IQRCompaniesH788" hidden="1">[3]Companies!$I$788:$J$788</definedName>
    <definedName name="IQRCompaniesH789" hidden="1">[3]Companies!$I$789</definedName>
    <definedName name="IQRCompaniesH79" hidden="1">[2]Companies!$I$79:$K$79</definedName>
    <definedName name="IQRCompaniesH790" hidden="1">[3]Companies!$I$790:$M$790</definedName>
    <definedName name="IQRCompaniesH791" hidden="1">[3]Companies!$I$791</definedName>
    <definedName name="IQRCompaniesH792" hidden="1">[3]Companies!$I$792:$K$792</definedName>
    <definedName name="IQRCompaniesH793" hidden="1">[3]Companies!$I$793</definedName>
    <definedName name="IQRCompaniesH794" hidden="1">[3]Companies!$I$794:$J$794</definedName>
    <definedName name="IQRCompaniesH795" hidden="1">[3]Companies!$I$795</definedName>
    <definedName name="IQRCompaniesH796" hidden="1">[3]Companies!$I$796:$M$796</definedName>
    <definedName name="IQRCompaniesH797" hidden="1">[3]Companies!$I$797</definedName>
    <definedName name="IQRCompaniesH80" hidden="1">[2]Companies!$I$80:$M$80</definedName>
    <definedName name="IQRCompaniesH800" hidden="1">[3]Companies!$I$800:$M$800</definedName>
    <definedName name="IQRCompaniesH801" hidden="1">[3]Companies!$I$801:$M$801</definedName>
    <definedName name="IQRCompaniesH802" hidden="1">[3]Companies!$I$802:$J$802</definedName>
    <definedName name="IQRCompaniesH803" hidden="1">[3]Companies!$I$803:$J$803</definedName>
    <definedName name="IQRCompaniesH804" hidden="1">[3]Companies!$I$804</definedName>
    <definedName name="IQRCompaniesH805" hidden="1">[3]Companies!$I$805:$L$805</definedName>
    <definedName name="IQRCompaniesH807" hidden="1">[3]Companies!$I$807</definedName>
    <definedName name="IQRCompaniesH808" hidden="1">[3]Companies!$I$808:$J$808</definedName>
    <definedName name="IQRCompaniesH81" hidden="1">[2]Companies!$I$81:$M$81</definedName>
    <definedName name="IQRCompaniesH810" hidden="1">[3]Companies!$I$810</definedName>
    <definedName name="IQRCompaniesH811" hidden="1">[3]Companies!$I$811:$M$811</definedName>
    <definedName name="IQRCompaniesH812" hidden="1">[3]Companies!$I$812:$J$812</definedName>
    <definedName name="IQRCompaniesH814" hidden="1">[3]Companies!$I$814:$M$814</definedName>
    <definedName name="IQRCompaniesH815" hidden="1">[3]Companies!$I$815</definedName>
    <definedName name="IQRCompaniesH816" hidden="1">[3]Companies!$I$816:$K$816</definedName>
    <definedName name="IQRCompaniesH817" hidden="1">[3]Companies!$I$817</definedName>
    <definedName name="IQRCompaniesH818" hidden="1">[3]Companies!$I$818:$L$818</definedName>
    <definedName name="IQRCompaniesH819" hidden="1">[3]Companies!$I$819:$J$819</definedName>
    <definedName name="IQRCompaniesH82" hidden="1">[2]Companies!$I$82:$M$82</definedName>
    <definedName name="IQRCompaniesH820" hidden="1">[3]Companies!$I$820</definedName>
    <definedName name="IQRCompaniesH822" hidden="1">[3]Companies!$I$822:$M$822</definedName>
    <definedName name="IQRCompaniesH823" hidden="1">[3]Companies!$I$823</definedName>
    <definedName name="IQRCompaniesH824" hidden="1">[3]Companies!$I$824:$M$824</definedName>
    <definedName name="IQRCompaniesH825" hidden="1">[3]Companies!$I$825:$M$825</definedName>
    <definedName name="IQRCompaniesH826" hidden="1">[3]Companies!$I$826:$K$826</definedName>
    <definedName name="IQRCompaniesH827" hidden="1">[3]Companies!$I$827</definedName>
    <definedName name="IQRCompaniesH828" hidden="1">[3]Companies!$I$828:$J$828</definedName>
    <definedName name="IQRCompaniesH829" hidden="1">[3]Companies!$I$829:$L$829</definedName>
    <definedName name="IQRCompaniesH83" hidden="1">[2]Companies!$I$83:$M$83</definedName>
    <definedName name="IQRCompaniesH830" hidden="1">[3]Companies!$I$830:$M$830</definedName>
    <definedName name="IQRCompaniesH832" hidden="1">[3]Companies!$I$832:$M$832</definedName>
    <definedName name="IQRCompaniesH833" hidden="1">[3]Companies!$I$833:$M$833</definedName>
    <definedName name="IQRCompaniesH834" hidden="1">[3]Companies!$I$834</definedName>
    <definedName name="IQRCompaniesH835" hidden="1">[3]Companies!$I$835:$M$835</definedName>
    <definedName name="IQRCompaniesH836" hidden="1">[3]Companies!$I$836</definedName>
    <definedName name="IQRCompaniesH837" hidden="1">[3]Companies!$I$837:$J$837</definedName>
    <definedName name="IQRCompaniesH838" hidden="1">[3]Companies!$I$838:$J$838</definedName>
    <definedName name="IQRCompaniesH84" hidden="1">[2]Companies!$I$84:$J$84</definedName>
    <definedName name="IQRCompaniesH840" hidden="1">[3]Companies!$I$840:$M$840</definedName>
    <definedName name="IQRCompaniesH842" hidden="1">[3]Companies!$I$842:$M$842</definedName>
    <definedName name="IQRCompaniesH843" hidden="1">[3]Companies!$I$843:$J$843</definedName>
    <definedName name="IQRCompaniesH844" hidden="1">[3]Companies!$I$844</definedName>
    <definedName name="IQRCompaniesH845" hidden="1">[3]Companies!$I$845</definedName>
    <definedName name="IQRCompaniesH846" hidden="1">[3]Companies!$I$846:$J$846</definedName>
    <definedName name="IQRCompaniesH847" hidden="1">[3]Companies!$I$847</definedName>
    <definedName name="IQRCompaniesH848" hidden="1">[3]Companies!$I$848:$M$848</definedName>
    <definedName name="IQRCompaniesH849" hidden="1">[3]Companies!$I$849</definedName>
    <definedName name="IQRCompaniesH85" hidden="1">[2]Companies!$I$85:$M$85</definedName>
    <definedName name="IQRCompaniesH851" hidden="1">[3]Companies!$I$851:$M$851</definedName>
    <definedName name="IQRCompaniesH852" hidden="1">[3]Companies!$I$852:$M$852</definedName>
    <definedName name="IQRCompaniesH855" hidden="1">[3]Companies!$I$855:$K$855</definedName>
    <definedName name="IQRCompaniesH856" hidden="1">[3]Companies!$I$856:$J$856</definedName>
    <definedName name="IQRCompaniesH857" hidden="1">[3]Companies!$I$857:$M$857</definedName>
    <definedName name="IQRCompaniesH858" hidden="1">[3]Companies!$I$858</definedName>
    <definedName name="IQRCompaniesH859" hidden="1">[3]Companies!$I$859:$J$859</definedName>
    <definedName name="IQRCompaniesH86" hidden="1">[2]Companies!$I$86:$M$86</definedName>
    <definedName name="IQRCompaniesH860" hidden="1">[3]Companies!$I$860</definedName>
    <definedName name="IQRCompaniesH861" hidden="1">[3]Companies!$I$861</definedName>
    <definedName name="IQRCompaniesH862" hidden="1">[3]Companies!$I$862</definedName>
    <definedName name="IQRCompaniesH863" hidden="1">[3]Companies!$I$863:$M$863</definedName>
    <definedName name="IQRCompaniesH864" hidden="1">[3]Companies!$I$864</definedName>
    <definedName name="IQRCompaniesH865" hidden="1">[3]Companies!$I$865</definedName>
    <definedName name="IQRCompaniesH866" hidden="1">[3]Companies!$I$866:$M$866</definedName>
    <definedName name="IQRCompaniesH867" hidden="1">[3]Companies!$I$867:$J$867</definedName>
    <definedName name="IQRCompaniesH868" hidden="1">[3]Companies!$I$868:$J$868</definedName>
    <definedName name="IQRCompaniesH869" hidden="1">[3]Companies!$I$869:$M$869</definedName>
    <definedName name="IQRCompaniesH87" hidden="1">[2]Companies!$I$87:$M$87</definedName>
    <definedName name="IQRCompaniesH871" hidden="1">[3]Companies!$I$871:$K$871</definedName>
    <definedName name="IQRCompaniesH873" hidden="1">[3]Companies!$I$873</definedName>
    <definedName name="IQRCompaniesH874" hidden="1">[3]Companies!$I$874</definedName>
    <definedName name="IQRCompaniesH875" hidden="1">[3]Companies!$I$875</definedName>
    <definedName name="IQRCompaniesH876" hidden="1">[3]Companies!$I$876:$M$876</definedName>
    <definedName name="IQRCompaniesH877" hidden="1">[3]Companies!$I$877</definedName>
    <definedName name="IQRCompaniesH878" hidden="1">[3]Companies!$I$878</definedName>
    <definedName name="IQRCompaniesH879" hidden="1">[3]Companies!$I$879:$J$879</definedName>
    <definedName name="IQRCompaniesH88" hidden="1">[2]Companies!$I$88:$J$88</definedName>
    <definedName name="IQRCompaniesH880" hidden="1">[3]Companies!$I$880:$M$880</definedName>
    <definedName name="IQRCompaniesH882" hidden="1">[3]Companies!$I$882:$M$882</definedName>
    <definedName name="IQRCompaniesH883" hidden="1">[3]Companies!$I$883</definedName>
    <definedName name="IQRCompaniesH884" hidden="1">[3]Companies!$I$884:$J$884</definedName>
    <definedName name="IQRCompaniesH885" hidden="1">[3]Companies!$I$885:$K$885</definedName>
    <definedName name="IQRCompaniesH886" hidden="1">[3]Companies!$I$886</definedName>
    <definedName name="IQRCompaniesH887" hidden="1">[3]Companies!$I$887</definedName>
    <definedName name="IQRCompaniesH888" hidden="1">[3]Companies!$I$888:$M$888</definedName>
    <definedName name="IQRCompaniesH89" hidden="1">[2]Companies!$I$89</definedName>
    <definedName name="IQRCompaniesH890" hidden="1">[3]Companies!$I$890:$M$890</definedName>
    <definedName name="IQRCompaniesH892" hidden="1">[3]Companies!$I$892:$J$892</definedName>
    <definedName name="IQRCompaniesH893" hidden="1">[3]Companies!$I$893</definedName>
    <definedName name="IQRCompaniesH894" hidden="1">[3]Companies!$I$894:$L$894</definedName>
    <definedName name="IQRCompaniesH895" hidden="1">[3]Companies!$I$895</definedName>
    <definedName name="IQRCompaniesH898" hidden="1">[3]Companies!$I$898:$K$898</definedName>
    <definedName name="IQRCompaniesH899" hidden="1">[3]Companies!$I$899</definedName>
    <definedName name="IQRCompaniesH90" hidden="1">[2]Companies!$I$90:$M$90</definedName>
    <definedName name="IQRCompaniesH900" hidden="1">[3]Companies!$I$900:$M$900</definedName>
    <definedName name="IQRCompaniesH901" hidden="1">[3]Companies!$I$901:$J$901</definedName>
    <definedName name="IQRCompaniesH902" hidden="1">[3]Companies!$I$902:$M$902</definedName>
    <definedName name="IQRCompaniesH906" hidden="1">[3]Companies!$I$906:$K$906</definedName>
    <definedName name="IQRCompaniesH907" hidden="1">[3]Companies!$I$907</definedName>
    <definedName name="IQRCompaniesH908" hidden="1">[3]Companies!$I$908:$K$908</definedName>
    <definedName name="IQRCompaniesH909" hidden="1">[3]Companies!$I$909:$M$909</definedName>
    <definedName name="IQRCompaniesH91" hidden="1">[2]Companies!$I$91:$M$91</definedName>
    <definedName name="IQRCompaniesH910" hidden="1">[3]Companies!$I$910:$M$910</definedName>
    <definedName name="IQRCompaniesH911" hidden="1">[3]Companies!$I$911:$J$911</definedName>
    <definedName name="IQRCompaniesH912" hidden="1">[3]Companies!$I$912</definedName>
    <definedName name="IQRCompaniesH913" hidden="1">[3]Companies!$I$913</definedName>
    <definedName name="IQRCompaniesH914" hidden="1">[3]Companies!$I$914:$J$914</definedName>
    <definedName name="IQRCompaniesH915" hidden="1">[3]Companies!$I$915</definedName>
    <definedName name="IQRCompaniesH916" hidden="1">[3]Companies!$I$916:$M$916</definedName>
    <definedName name="IQRCompaniesH917" hidden="1">[3]Companies!$I$917</definedName>
    <definedName name="IQRCompaniesH918" hidden="1">[3]Companies!$I$918:$K$918</definedName>
    <definedName name="IQRCompaniesH919" hidden="1">[3]Companies!$I$919:$M$919</definedName>
    <definedName name="IQRCompaniesH92" hidden="1">[2]Companies!$I$92:$M$92</definedName>
    <definedName name="IQRCompaniesH920" hidden="1">[3]Companies!$I$920</definedName>
    <definedName name="IQRCompaniesH921" hidden="1">[3]Companies!$I$921</definedName>
    <definedName name="IQRCompaniesH922" hidden="1">[3]Companies!$I$922:$K$922</definedName>
    <definedName name="IQRCompaniesH923" hidden="1">[3]Companies!$I$923:$J$923</definedName>
    <definedName name="IQRCompaniesH924" hidden="1">[3]Companies!$I$924:$M$924</definedName>
    <definedName name="IQRCompaniesH925" hidden="1">[3]Companies!$I$925</definedName>
    <definedName name="IQRCompaniesH926" hidden="1">[3]Companies!$I$926:$J$926</definedName>
    <definedName name="IQRCompaniesH927" hidden="1">[3]Companies!$I$927</definedName>
    <definedName name="IQRCompaniesH928" hidden="1">[3]Companies!$I$928</definedName>
    <definedName name="IQRCompaniesH929" hidden="1">[3]Companies!$I$929</definedName>
    <definedName name="IQRCompaniesH93" hidden="1">[2]Companies!$I$93</definedName>
    <definedName name="IQRCompaniesH930" hidden="1">[3]Companies!$I$930:$M$930</definedName>
    <definedName name="IQRCompaniesH931" hidden="1">[3]Companies!$I$931</definedName>
    <definedName name="IQRCompaniesH932" hidden="1">[3]Companies!$I$932</definedName>
    <definedName name="IQRCompaniesH933" hidden="1">[3]Companies!$I$933:$M$933</definedName>
    <definedName name="IQRCompaniesH934" hidden="1">[3]Companies!$I$934:$J$934</definedName>
    <definedName name="IQRCompaniesH935" hidden="1">[3]Companies!$I$935:$K$935</definedName>
    <definedName name="IQRCompaniesH936" hidden="1">[3]Companies!$I$936</definedName>
    <definedName name="IQRCompaniesH937" hidden="1">[3]Companies!$I$937</definedName>
    <definedName name="IQRCompaniesH938" hidden="1">[3]Companies!$I$938:$J$938</definedName>
    <definedName name="IQRCompaniesH939" hidden="1">[3]Companies!$I$939</definedName>
    <definedName name="IQRCompaniesH94" hidden="1">[2]Companies!$I$94:$M$94</definedName>
    <definedName name="IQRCompaniesH940" hidden="1">[3]Companies!$I$940:$M$940</definedName>
    <definedName name="IQRCompaniesH941" hidden="1">[3]Companies!$I$941:$M$941</definedName>
    <definedName name="IQRCompaniesH942" hidden="1">[3]Companies!$I$942</definedName>
    <definedName name="IQRCompaniesH943" hidden="1">[3]Companies!$I$943</definedName>
    <definedName name="IQRCompaniesH944" hidden="1">[3]Companies!$I$944:$J$944</definedName>
    <definedName name="IQRCompaniesH945" hidden="1">[3]Companies!$I$945:$M$945</definedName>
    <definedName name="IQRCompaniesH946" hidden="1">[3]Companies!$I$946</definedName>
    <definedName name="IQRCompaniesH947" hidden="1">[3]Companies!$I$947:$J$947</definedName>
    <definedName name="IQRCompaniesH948" hidden="1">[3]Companies!$I$948:$K$948</definedName>
    <definedName name="IQRCompaniesH949" hidden="1">[3]Companies!$I$949</definedName>
    <definedName name="IQRCompaniesH95" hidden="1">[2]Companies!$I$95:$L$95</definedName>
    <definedName name="IQRCompaniesH950" hidden="1">[3]Companies!$I$950</definedName>
    <definedName name="IQRCompaniesH951" hidden="1">[3]Companies!$I$951:$M$951</definedName>
    <definedName name="IQRCompaniesH952" hidden="1">[3]Companies!$I$952:$M$952</definedName>
    <definedName name="IQRCompaniesH953" hidden="1">[3]Companies!$I$953</definedName>
    <definedName name="IQRCompaniesH954" hidden="1">[3]Companies!$I$954:$J$954</definedName>
    <definedName name="IQRCompaniesH955" hidden="1">[3]Companies!$I$955</definedName>
    <definedName name="IQRCompaniesH956" hidden="1">[3]Companies!$I$956:$L$956</definedName>
    <definedName name="IQRCompaniesH957" hidden="1">[3]Companies!$I$957</definedName>
    <definedName name="IQRCompaniesH958" hidden="1">[3]Companies!$I$958:$K$958</definedName>
    <definedName name="IQRCompaniesH959" hidden="1">[3]Companies!$I$959</definedName>
    <definedName name="IQRCompaniesH96" hidden="1">[2]Companies!$I$96:$J$96</definedName>
    <definedName name="IQRCompaniesH960" hidden="1">[3]Companies!$I$960:$J$960</definedName>
    <definedName name="IQRCompaniesH961" hidden="1">[3]Companies!$I$961:$M$961</definedName>
    <definedName name="IQRCompaniesH962" hidden="1">[3]Companies!$I$962:$K$962</definedName>
    <definedName name="IQRCompaniesH963" hidden="1">[3]Companies!$I$963</definedName>
    <definedName name="IQRCompaniesH964" hidden="1">[3]Companies!$I$964:$K$964</definedName>
    <definedName name="IQRCompaniesH965" hidden="1">[3]Companies!$I$965</definedName>
    <definedName name="IQRCompaniesH966" hidden="1">[3]Companies!$I$966</definedName>
    <definedName name="IQRCompaniesH967" hidden="1">[3]Companies!$I$967</definedName>
    <definedName name="IQRCompaniesH968" hidden="1">[3]Companies!$I$968:$L$968</definedName>
    <definedName name="IQRCompaniesH969" hidden="1">[3]Companies!$I$969:$M$969</definedName>
    <definedName name="IQRCompaniesH97" hidden="1">[2]Companies!$I$97:$M$97</definedName>
    <definedName name="IQRCompaniesH970" hidden="1">[3]Companies!$I$970:$M$970</definedName>
    <definedName name="IQRCompaniesH971" hidden="1">[3]Companies!$I$971:$J$971</definedName>
    <definedName name="IQRCompaniesH972" hidden="1">[3]Companies!$I$972:$L$972</definedName>
    <definedName name="IQRCompaniesH973" hidden="1">[3]Companies!$I$973:$J$973</definedName>
    <definedName name="IQRCompaniesH974" hidden="1">[3]Companies!$I$974</definedName>
    <definedName name="IQRCompaniesH975" hidden="1">[3]Companies!$I$975</definedName>
    <definedName name="IQRCompaniesH976" hidden="1">[3]Companies!$I$976:$J$976</definedName>
    <definedName name="IQRCompaniesH977" hidden="1">[3]Companies!$I$977:$L$977</definedName>
    <definedName name="IQRCompaniesH978" hidden="1">[3]Companies!$I$978:$J$978</definedName>
    <definedName name="IQRCompaniesH979" hidden="1">[3]Companies!$I$979:$J$979</definedName>
    <definedName name="IQRCompaniesH98" hidden="1">[2]Companies!$I$98:$M$98</definedName>
    <definedName name="IQRCompaniesH980" hidden="1">[3]Companies!$I$980:$L$980</definedName>
    <definedName name="IQRCompaniesH981" hidden="1">[3]Companies!$I$981:$M$981</definedName>
    <definedName name="IQRCompaniesH982" hidden="1">[3]Companies!$I$982</definedName>
    <definedName name="IQRCompaniesH983" hidden="1">[3]Companies!$I$983:$M$983</definedName>
    <definedName name="IQRCompaniesH984" hidden="1">[3]Companies!$I$984:$J$984</definedName>
    <definedName name="IQRCompaniesH985" hidden="1">[3]Companies!$I$985:$M$985</definedName>
    <definedName name="IQRCompaniesH986" hidden="1">[3]Companies!$I$986:$M$986</definedName>
    <definedName name="IQRCompaniesH987" hidden="1">[3]Companies!$I$987</definedName>
    <definedName name="IQRCompaniesH988" hidden="1">[3]Companies!$I$988</definedName>
    <definedName name="IQRCompaniesH989" hidden="1">[3]Companies!$I$989:$J$989</definedName>
    <definedName name="IQRCompaniesH99" hidden="1">[2]Companies!$I$99</definedName>
    <definedName name="IQRCompaniesH990" hidden="1">[3]Companies!$I$990:$J$990</definedName>
    <definedName name="IQRCompaniesH991" hidden="1">[3]Companies!$I$991:$M$991</definedName>
    <definedName name="IQRCompaniesH992" hidden="1">[3]Companies!$I$992</definedName>
    <definedName name="IQRCompaniesH993" hidden="1">[3]Companies!$I$993:$J$993</definedName>
    <definedName name="IQRCompaniesH994" hidden="1">[3]Companies!$I$994</definedName>
    <definedName name="IQRCompaniesH995" hidden="1">[3]Companies!$I$995:$J$995</definedName>
    <definedName name="IQRCompaniesH996" hidden="1">[3]Companies!$I$996:$M$996</definedName>
    <definedName name="IQRCompaniesH997" hidden="1">[3]Companies!$I$997:$M$997</definedName>
    <definedName name="IQRCompaniesH998" hidden="1">[3]Companies!$I$998</definedName>
    <definedName name="IQRCompaniesH999" hidden="1">[3]Companies!$I$999:$L$999</definedName>
    <definedName name="IQRCompaniesN100" hidden="1">[2]Companies!$O$100:$S$100</definedName>
    <definedName name="IQRCompaniesN1000" hidden="1">[3]Companies!$O$1000</definedName>
    <definedName name="IQRCompaniesN1001" hidden="1">[3]Companies!$O$1001:$S$1001</definedName>
    <definedName name="IQRCompaniesN1002" hidden="1">[3]Companies!$O$1002:$R$1002</definedName>
    <definedName name="IQRCompaniesN1003" hidden="1">[3]Companies!$O$1003</definedName>
    <definedName name="IQRCompaniesN1004" hidden="1">[3]Companies!$O$1004:$Q$1004</definedName>
    <definedName name="IQRCompaniesN1005" hidden="1">[3]Companies!$O$1005:$S$1005</definedName>
    <definedName name="IQRCompaniesN1006" hidden="1">[3]Companies!$O$1006:$S$1006</definedName>
    <definedName name="IQRCompaniesN1007" hidden="1">[3]Companies!$O$1007</definedName>
    <definedName name="IQRCompaniesN1008" hidden="1">[3]Companies!$O$1008:$S$1008</definedName>
    <definedName name="IQRCompaniesN1009" hidden="1">[3]Companies!$O$1009:$S$1009</definedName>
    <definedName name="IQRCompaniesN101" hidden="1">[2]Companies!$O$101:$P$101</definedName>
    <definedName name="IQRCompaniesN1010" hidden="1">[3]Companies!$O$1010</definedName>
    <definedName name="IQRCompaniesN1011" hidden="1">[3]Companies!$O$1011</definedName>
    <definedName name="IQRCompaniesN1012" hidden="1">[3]Companies!$O$1012:$R$1012</definedName>
    <definedName name="IQRCompaniesN1013" hidden="1">[3]Companies!$O$1013</definedName>
    <definedName name="IQRCompaniesN1014" hidden="1">[3]Companies!$O$1014:$S$1014</definedName>
    <definedName name="IQRCompaniesN1015" hidden="1">[3]Companies!$O$1015</definedName>
    <definedName name="IQRCompaniesN1016" hidden="1">[3]Companies!$O$1016:$P$1016</definedName>
    <definedName name="IQRCompaniesN1017" hidden="1">[3]Companies!$O$1017:$P$1017</definedName>
    <definedName name="IQRCompaniesN1018" hidden="1">[3]Companies!$O$1018</definedName>
    <definedName name="IQRCompaniesN1019" hidden="1">[3]Companies!$O$1019:$P$1019</definedName>
    <definedName name="IQRCompaniesN102" hidden="1">[2]Companies!$O$102:$S$102</definedName>
    <definedName name="IQRCompaniesN1020" hidden="1">[3]Companies!$O$1020:$S$1020</definedName>
    <definedName name="IQRCompaniesN1021" hidden="1">[3]Companies!$O$1021:$R$1021</definedName>
    <definedName name="IQRCompaniesN1022" hidden="1">[3]Companies!$O$1022:$S$1022</definedName>
    <definedName name="IQRCompaniesN1023" hidden="1">[3]Companies!$O$1023</definedName>
    <definedName name="IQRCompaniesN1024" hidden="1">[3]Companies!$O$1024:$S$1024</definedName>
    <definedName name="IQRCompaniesN1025" hidden="1">[3]Companies!$O$1025:$P$1025</definedName>
    <definedName name="IQRCompaniesN1026" hidden="1">[3]Companies!$O$1026:$S$1026</definedName>
    <definedName name="IQRCompaniesN1027" hidden="1">[3]Companies!$O$1027:$S$1027</definedName>
    <definedName name="IQRCompaniesN1028" hidden="1">[3]Companies!$O$1028:$P$1028</definedName>
    <definedName name="IQRCompaniesN1029" hidden="1">[3]Companies!$O$1029:$R$1029</definedName>
    <definedName name="IQRCompaniesN103" hidden="1">[2]Companies!$O$103:$S$103</definedName>
    <definedName name="IQRCompaniesN1030" hidden="1">[3]Companies!$O$1030:$P$1030</definedName>
    <definedName name="IQRCompaniesN1031" hidden="1">[3]Companies!$O$1031:$S$1031</definedName>
    <definedName name="IQRCompaniesN1032" hidden="1">[3]Companies!$O$1032</definedName>
    <definedName name="IQRCompaniesN1033" hidden="1">[3]Companies!$O$1033:$Q$1033</definedName>
    <definedName name="IQRCompaniesN1034" hidden="1">[3]Companies!$O$1034</definedName>
    <definedName name="IQRCompaniesN1035" hidden="1">[3]Companies!$O$1035</definedName>
    <definedName name="IQRCompaniesN1036" hidden="1">[3]Companies!$O$1036:$S$1036</definedName>
    <definedName name="IQRCompaniesN1037" hidden="1">[3]Companies!$O$1037:$R$1037</definedName>
    <definedName name="IQRCompaniesN1038" hidden="1">[3]Companies!$O$1038</definedName>
    <definedName name="IQRCompaniesN1039" hidden="1">[3]Companies!$O$1039:$S$1039</definedName>
    <definedName name="IQRCompaniesN104" hidden="1">[2]Companies!$O$104:$S$104</definedName>
    <definedName name="IQRCompaniesN1040" hidden="1">[3]Companies!$O$1040</definedName>
    <definedName name="IQRCompaniesN1041" hidden="1">[3]Companies!$O$1041</definedName>
    <definedName name="IQRCompaniesN1042" hidden="1">[3]Companies!$O$1042:$P$1042</definedName>
    <definedName name="IQRCompaniesN1043" hidden="1">[3]Companies!$O$1043</definedName>
    <definedName name="IQRCompaniesN1044" hidden="1">[3]Companies!$O$1044</definedName>
    <definedName name="IQRCompaniesN1045" hidden="1">[3]Companies!$O$1045:$S$1045</definedName>
    <definedName name="IQRCompaniesN1046" hidden="1">[3]Companies!$O$1046:$S$1046</definedName>
    <definedName name="IQRCompaniesN1047" hidden="1">[3]Companies!$O$1047:$Q$1047</definedName>
    <definedName name="IQRCompaniesN1048" hidden="1">[3]Companies!$O$1048:$S$1048</definedName>
    <definedName name="IQRCompaniesN1049" hidden="1">[3]Companies!$O$1049:$S$1049</definedName>
    <definedName name="IQRCompaniesN105" hidden="1">[2]Companies!$O$105:$S$105</definedName>
    <definedName name="IQRCompaniesN1050" hidden="1">[3]Companies!$O$1050:$P$1050</definedName>
    <definedName name="IQRCompaniesN1051" hidden="1">[3]Companies!$O$1051:$S$1051</definedName>
    <definedName name="IQRCompaniesN1052" hidden="1">[3]Companies!$O$1052:$P$1052</definedName>
    <definedName name="IQRCompaniesN1053" hidden="1">[3]Companies!$O$1053:$S$1053</definedName>
    <definedName name="IQRCompaniesN1054" hidden="1">[3]Companies!$O$1054:$P$1054</definedName>
    <definedName name="IQRCompaniesN1055" hidden="1">[3]Companies!$O$1055</definedName>
    <definedName name="IQRCompaniesN1056" hidden="1">[3]Companies!$O$1056:$S$1056</definedName>
    <definedName name="IQRCompaniesN1057" hidden="1">[3]Companies!$O$1057</definedName>
    <definedName name="IQRCompaniesN1058" hidden="1">[3]Companies!$O$1058:$S$1058</definedName>
    <definedName name="IQRCompaniesN1059" hidden="1">[3]Companies!$O$1059:$S$1059</definedName>
    <definedName name="IQRCompaniesN106" hidden="1">[2]Companies!$O$106</definedName>
    <definedName name="IQRCompaniesN1060" hidden="1">[3]Companies!$O$1060</definedName>
    <definedName name="IQRCompaniesN1061" hidden="1">[3]Companies!$O$1061:$R$1061</definedName>
    <definedName name="IQRCompaniesN1062" hidden="1">[3]Companies!$O$1062</definedName>
    <definedName name="IQRCompaniesN1063" hidden="1">[3]Companies!$O$1063:$Q$1063</definedName>
    <definedName name="IQRCompaniesN1064" hidden="1">[3]Companies!$O$1064:$S$1064</definedName>
    <definedName name="IQRCompaniesN1065" hidden="1">[3]Companies!$O$1065:$S$1065</definedName>
    <definedName name="IQRCompaniesN1066" hidden="1">[3]Companies!$O$1066</definedName>
    <definedName name="IQRCompaniesN1067" hidden="1">[3]Companies!$O$1067:$S$1067</definedName>
    <definedName name="IQRCompaniesN1068" hidden="1">[3]Companies!$O$1068</definedName>
    <definedName name="IQRCompaniesN1069" hidden="1">[3]Companies!$O$1069:$P$1069</definedName>
    <definedName name="IQRCompaniesN107" hidden="1">[2]Companies!$O$107:$P$107</definedName>
    <definedName name="IQRCompaniesN1070" hidden="1">[3]Companies!$O$1070:$Q$1070</definedName>
    <definedName name="IQRCompaniesN1071" hidden="1">[3]Companies!$O$1071:$P$1071</definedName>
    <definedName name="IQRCompaniesN1072" hidden="1">[3]Companies!$O$1072:$S$1072</definedName>
    <definedName name="IQRCompaniesN1073" hidden="1">[3]Companies!$O$1073</definedName>
    <definedName name="IQRCompaniesN1074" hidden="1">[3]Companies!$O$1074:$S$1074</definedName>
    <definedName name="IQRCompaniesN1075" hidden="1">[3]Companies!$O$1075:$P$1075</definedName>
    <definedName name="IQRCompaniesN1076" hidden="1">[3]Companies!$O$1076:$S$1076</definedName>
    <definedName name="IQRCompaniesN1077" hidden="1">[3]Companies!$O$1077:$S$1077</definedName>
    <definedName name="IQRCompaniesN1078" hidden="1">[3]Companies!$O$1078:$Q$1078</definedName>
    <definedName name="IQRCompaniesN1079" hidden="1">[3]Companies!$O$1079</definedName>
    <definedName name="IQRCompaniesN108" hidden="1">[2]Companies!$O$108:$S$108</definedName>
    <definedName name="IQRCompaniesN1080" hidden="1">[3]Companies!$O$1080:$S$1080</definedName>
    <definedName name="IQRCompaniesN1081" hidden="1">[3]Companies!$O$1081:$S$1081</definedName>
    <definedName name="IQRCompaniesN1082" hidden="1">[3]Companies!$O$1082:$P$1082</definedName>
    <definedName name="IQRCompaniesN1083" hidden="1">[3]Companies!$O$1083:$S$1083</definedName>
    <definedName name="IQRCompaniesN1084" hidden="1">[3]Companies!$O$1084</definedName>
    <definedName name="IQRCompaniesN1085" hidden="1">[3]Companies!$O$1085:$P$1085</definedName>
    <definedName name="IQRCompaniesN1086" hidden="1">[3]Companies!$O$1086</definedName>
    <definedName name="IQRCompaniesN1087" hidden="1">[3]Companies!$O$1087:$Q$1087</definedName>
    <definedName name="IQRCompaniesN1088" hidden="1">[3]Companies!$O$1088:$S$1088</definedName>
    <definedName name="IQRCompaniesN1089" hidden="1">[3]Companies!$O$1089:$S$1089</definedName>
    <definedName name="IQRCompaniesN109" hidden="1">[2]Companies!$O$109:$P$109</definedName>
    <definedName name="IQRCompaniesN1090" hidden="1">[3]Companies!$O$1090</definedName>
    <definedName name="IQRCompaniesN1091" hidden="1">[3]Companies!$O$1091:$S$1091</definedName>
    <definedName name="IQRCompaniesN1092" hidden="1">[3]Companies!$O$1092</definedName>
    <definedName name="IQRCompaniesN1093" hidden="1">[3]Companies!$O$1093:$P$1093</definedName>
    <definedName name="IQRCompaniesN1094" hidden="1">[3]Companies!$O$1094</definedName>
    <definedName name="IQRCompaniesN1095" hidden="1">[3]Companies!$O$1095</definedName>
    <definedName name="IQRCompaniesN1096" hidden="1">[3]Companies!$O$1096:$S$1096</definedName>
    <definedName name="IQRCompaniesN1097" hidden="1">[3]Companies!$O$1097</definedName>
    <definedName name="IQRCompaniesN1098" hidden="1">[3]Companies!$O$1098:$R$1098</definedName>
    <definedName name="IQRCompaniesN1099" hidden="1">[3]Companies!$O$1099</definedName>
    <definedName name="IQRCompaniesN110" hidden="1">[2]Companies!$O$110:$Q$110</definedName>
    <definedName name="IQRCompaniesN1100" hidden="1">[3]Companies!$O$1100:$S$1100</definedName>
    <definedName name="IQRCompaniesN1101" hidden="1">[3]Companies!$O$1101</definedName>
    <definedName name="IQRCompaniesN1102" hidden="1">[3]Companies!$O$1102</definedName>
    <definedName name="IQRCompaniesN1103" hidden="1">[3]Companies!$O$1103</definedName>
    <definedName name="IQRCompaniesN1104" hidden="1">[3]Companies!$O$1104</definedName>
    <definedName name="IQRCompaniesN1105" hidden="1">[3]Companies!$O$1105</definedName>
    <definedName name="IQRCompaniesN1106" hidden="1">[3]Companies!$O$1106:$S$1106</definedName>
    <definedName name="IQRCompaniesN1107" hidden="1">[3]Companies!$O$1107:$S$1107</definedName>
    <definedName name="IQRCompaniesN1108" hidden="1">[3]Companies!$O$1108:$P$1108</definedName>
    <definedName name="IQRCompaniesN1109" hidden="1">[3]Companies!$O$1109:$Q$1109</definedName>
    <definedName name="IQRCompaniesN111" hidden="1">[2]Companies!$O$111:$S$111</definedName>
    <definedName name="IQRCompaniesN1110" hidden="1">[3]Companies!$O$1110:$S$1110</definedName>
    <definedName name="IQRCompaniesN1111" hidden="1">[3]Companies!$O$1111:$P$1111</definedName>
    <definedName name="IQRCompaniesN1112" hidden="1">[3]Companies!$O$1112</definedName>
    <definedName name="IQRCompaniesN1113" hidden="1">[3]Companies!$O$1113</definedName>
    <definedName name="IQRCompaniesN1114" hidden="1">[3]Companies!$O$1114:$P$1114</definedName>
    <definedName name="IQRCompaniesN1115" hidden="1">[3]Companies!$O$1115:$S$1115</definedName>
    <definedName name="IQRCompaniesN1116" hidden="1">[3]Companies!$O$1116:$P$1116</definedName>
    <definedName name="IQRCompaniesN1117" hidden="1">[3]Companies!$O$1117:$P$1117</definedName>
    <definedName name="IQRCompaniesN1118" hidden="1">[3]Companies!$O$1118</definedName>
    <definedName name="IQRCompaniesN1119" hidden="1">[3]Companies!$O$1119:$R$1119</definedName>
    <definedName name="IQRCompaniesN112" hidden="1">[2]Companies!$O$112</definedName>
    <definedName name="IQRCompaniesN1120" hidden="1">[3]Companies!$O$1120</definedName>
    <definedName name="IQRCompaniesN1121" hidden="1">[3]Companies!$O$1121</definedName>
    <definedName name="IQRCompaniesN1122" hidden="1">[3]Companies!$O$1122:$Q$1122</definedName>
    <definedName name="IQRCompaniesN1123" hidden="1">[3]Companies!$O$1123:$P$1123</definedName>
    <definedName name="IQRCompaniesN1124" hidden="1">[3]Companies!$O$1124</definedName>
    <definedName name="IQRCompaniesN1125" hidden="1">[3]Companies!$O$1125</definedName>
    <definedName name="IQRCompaniesN1126" hidden="1">[3]Companies!$O$1126</definedName>
    <definedName name="IQRCompaniesN1127" hidden="1">[3]Companies!$O$1127</definedName>
    <definedName name="IQRCompaniesN1128" hidden="1">[3]Companies!$O$1128:$S$1128</definedName>
    <definedName name="IQRCompaniesN1129" hidden="1">[3]Companies!$O$1129</definedName>
    <definedName name="IQRCompaniesN113" hidden="1">[3]Companies!$O$113:$S$113</definedName>
    <definedName name="IQRCompaniesN1130" hidden="1">[3]Companies!$O$1130</definedName>
    <definedName name="IQRCompaniesN1131" hidden="1">[3]Companies!$O$1131:$Q$1131</definedName>
    <definedName name="IQRCompaniesN1132" hidden="1">[3]Companies!$O$1132</definedName>
    <definedName name="IQRCompaniesN1133" hidden="1">[3]Companies!$O$1133</definedName>
    <definedName name="IQRCompaniesN1134" hidden="1">[3]Companies!$O$1134:$R$1134</definedName>
    <definedName name="IQRCompaniesN1135" hidden="1">[3]Companies!$O$1135</definedName>
    <definedName name="IQRCompaniesN1136" hidden="1">[3]Companies!$O$1136</definedName>
    <definedName name="IQRCompaniesN1137" hidden="1">[3]Companies!$O$1137:$P$1137</definedName>
    <definedName name="IQRCompaniesN1138" hidden="1">[3]Companies!$O$1138:$P$1138</definedName>
    <definedName name="IQRCompaniesN1139" hidden="1">[3]Companies!$O$1139:$R$1139</definedName>
    <definedName name="IQRCompaniesN114" hidden="1">[3]Companies!$O$114</definedName>
    <definedName name="IQRCompaniesN1140" hidden="1">[3]Companies!$O$1140</definedName>
    <definedName name="IQRCompaniesN1141" hidden="1">[3]Companies!$O$1141:$S$1141</definedName>
    <definedName name="IQRCompaniesN1142" hidden="1">[3]Companies!$O$1142:$Q$1142</definedName>
    <definedName name="IQRCompaniesN1143" hidden="1">[3]Companies!$O$1143</definedName>
    <definedName name="IQRCompaniesN1144" hidden="1">[3]Companies!$O$1144</definedName>
    <definedName name="IQRCompaniesN1145" hidden="1">[3]Companies!$O$1145</definedName>
    <definedName name="IQRCompaniesN1146" hidden="1">[3]Companies!$O$1146:$R$1146</definedName>
    <definedName name="IQRCompaniesN1147" hidden="1">[3]Companies!$O$1147:$S$1147</definedName>
    <definedName name="IQRCompaniesN1148" hidden="1">[3]Companies!$O$1148</definedName>
    <definedName name="IQRCompaniesN1149" hidden="1">[3]Companies!$O$1149:$P$1149</definedName>
    <definedName name="IQRCompaniesN115" hidden="1">[3]Companies!$O$115:$S$115</definedName>
    <definedName name="IQRCompaniesN1150" hidden="1">[3]Companies!$O$1150:$S$1150</definedName>
    <definedName name="IQRCompaniesN1151" hidden="1">[3]Companies!$O$1151</definedName>
    <definedName name="IQRCompaniesN1152" hidden="1">[3]Companies!$O$1152:$S$1152</definedName>
    <definedName name="IQRCompaniesN1153" hidden="1">[3]Companies!$O$1153</definedName>
    <definedName name="IQRCompaniesN1154" hidden="1">[3]Companies!$O$1154:$S$1154</definedName>
    <definedName name="IQRCompaniesN1155" hidden="1">[3]Companies!$O$1155:$P$1155</definedName>
    <definedName name="IQRCompaniesN1156" hidden="1">[3]Companies!$O$1156:$S$1156</definedName>
    <definedName name="IQRCompaniesN1157" hidden="1">[3]Companies!$O$1157</definedName>
    <definedName name="IQRCompaniesN1158" hidden="1">[3]Companies!$O$1158:$P$1158</definedName>
    <definedName name="IQRCompaniesN1159" hidden="1">[3]Companies!$O$1159:$S$1159</definedName>
    <definedName name="IQRCompaniesN116" hidden="1">[3]Companies!$O$116:$S$116</definedName>
    <definedName name="IQRCompaniesN1160" hidden="1">[3]Companies!$O$1160:$S$1160</definedName>
    <definedName name="IQRCompaniesN1161" hidden="1">[3]Companies!$O$1161</definedName>
    <definedName name="IQRCompaniesN1162" hidden="1">[3]Companies!$O$1162:$P$1162</definedName>
    <definedName name="IQRCompaniesN1163" hidden="1">[3]Companies!$O$1163:$P$1163</definedName>
    <definedName name="IQRCompaniesN1164" hidden="1">[3]Companies!$O$1164</definedName>
    <definedName name="IQRCompaniesN1165" hidden="1">[3]Companies!$O$1165:$Q$1165</definedName>
    <definedName name="IQRCompaniesN1166" hidden="1">[3]Companies!$O$1166:$P$1166</definedName>
    <definedName name="IQRCompaniesN1167" hidden="1">[3]Companies!$O$1167</definedName>
    <definedName name="IQRCompaniesN1168" hidden="1">[3]Companies!$O$1168</definedName>
    <definedName name="IQRCompaniesN1169" hidden="1">[3]Companies!$O$1169:$S$1169</definedName>
    <definedName name="IQRCompaniesN117" hidden="1">[3]Companies!$O$117</definedName>
    <definedName name="IQRCompaniesN1170" hidden="1">[3]Companies!$O$1170</definedName>
    <definedName name="IQRCompaniesN1171" hidden="1">[3]Companies!$O$1171</definedName>
    <definedName name="IQRCompaniesN1172" hidden="1">[3]Companies!$O$1172:$Q$1172</definedName>
    <definedName name="IQRCompaniesN1173" hidden="1">[3]Companies!$O$1173:$S$1173</definedName>
    <definedName name="IQRCompaniesN1174" hidden="1">[3]Companies!$O$1174:$S$1174</definedName>
    <definedName name="IQRCompaniesN1175" hidden="1">[3]Companies!$O$1175:$S$1175</definedName>
    <definedName name="IQRCompaniesN1176" hidden="1">[3]Companies!$O$1176:$S$1176</definedName>
    <definedName name="IQRCompaniesN1177" hidden="1">[3]Companies!$O$1177:$S$1177</definedName>
    <definedName name="IQRCompaniesN1178" hidden="1">[3]Companies!$O$1178:$S$1178</definedName>
    <definedName name="IQRCompaniesN1179" hidden="1">[3]Companies!$O$1179</definedName>
    <definedName name="IQRCompaniesN118" hidden="1">[3]Companies!$O$118:$S$118</definedName>
    <definedName name="IQRCompaniesN1180" hidden="1">[3]Companies!$O$1180</definedName>
    <definedName name="IQRCompaniesN1181" hidden="1">[3]Companies!$O$1181:$R$1181</definedName>
    <definedName name="IQRCompaniesN1182" hidden="1">[3]Companies!$O$1182</definedName>
    <definedName name="IQRCompaniesN1183" hidden="1">[3]Companies!$O$1183:$Q$1183</definedName>
    <definedName name="IQRCompaniesN1184" hidden="1">[3]Companies!$O$1184</definedName>
    <definedName name="IQRCompaniesN1185" hidden="1">[3]Companies!$O$1185:$S$1185</definedName>
    <definedName name="IQRCompaniesN1186" hidden="1">[3]Companies!$O$1186:$S$1186</definedName>
    <definedName name="IQRCompaniesN1187" hidden="1">[3]Companies!$O$1187:$Q$1187</definedName>
    <definedName name="IQRCompaniesN1188" hidden="1">[3]Companies!$O$1188</definedName>
    <definedName name="IQRCompaniesN1189" hidden="1">[3]Companies!$O$1189:$S$1189</definedName>
    <definedName name="IQRCompaniesN119" hidden="1">[3]Companies!$O$119:$S$119</definedName>
    <definedName name="IQRCompaniesN1190" hidden="1">[3]Companies!$O$1190:$S$1190</definedName>
    <definedName name="IQRCompaniesN1191" hidden="1">[3]Companies!$O$1191:$S$1191</definedName>
    <definedName name="IQRCompaniesN1192" hidden="1">[3]Companies!$O$1192:$S$1192</definedName>
    <definedName name="IQRCompaniesN1193" hidden="1">[3]Companies!$O$1193:$Q$1193</definedName>
    <definedName name="IQRCompaniesN1194" hidden="1">[3]Companies!$O$1194:$P$1194</definedName>
    <definedName name="IQRCompaniesN1195" hidden="1">[3]Companies!$O$1195:$P$1195</definedName>
    <definedName name="IQRCompaniesN1196" hidden="1">[3]Companies!$O$1196:$S$1196</definedName>
    <definedName name="IQRCompaniesN1197" hidden="1">[3]Companies!$O$1197:$S$1197</definedName>
    <definedName name="IQRCompaniesN1198" hidden="1">[3]Companies!$O$1198:$S$1198</definedName>
    <definedName name="IQRCompaniesN1199" hidden="1">[3]Companies!$O$1199:$S$1199</definedName>
    <definedName name="IQRCompaniesN12" hidden="1">[2]Companies!$O$12:$S$12</definedName>
    <definedName name="IQRCompaniesN120" hidden="1">[3]Companies!$O$120:$Q$120</definedName>
    <definedName name="IQRCompaniesN1200" hidden="1">[3]Companies!$O$1200:$R$1200</definedName>
    <definedName name="IQRCompaniesN1201" hidden="1">[3]Companies!$O$1201:$P$1201</definedName>
    <definedName name="IQRCompaniesN1202" hidden="1">[3]Companies!$O$1202:$S$1202</definedName>
    <definedName name="IQRCompaniesN1203" hidden="1">[3]Companies!$O$1203</definedName>
    <definedName name="IQRCompaniesN1204" hidden="1">[3]Companies!$O$1204:$Q$1204</definedName>
    <definedName name="IQRCompaniesN1205" hidden="1">[3]Companies!$O$1205</definedName>
    <definedName name="IQRCompaniesN1206" hidden="1">[3]Companies!$O$1206:$R$1206</definedName>
    <definedName name="IQRCompaniesN1207" hidden="1">[3]Companies!$O$1207:$S$1207</definedName>
    <definedName name="IQRCompaniesN1208" hidden="1">[3]Companies!$O$1208:$S$1208</definedName>
    <definedName name="IQRCompaniesN1209" hidden="1">[3]Companies!$O$1209:$S$1209</definedName>
    <definedName name="IQRCompaniesN121" hidden="1">[3]Companies!$O$121:$P$121</definedName>
    <definedName name="IQRCompaniesN1210" hidden="1">[3]Companies!$O$1210:$R$1210</definedName>
    <definedName name="IQRCompaniesN1211" hidden="1">[3]Companies!$O$1211:$S$1211</definedName>
    <definedName name="IQRCompaniesN1212" hidden="1">[3]Companies!$O$1212</definedName>
    <definedName name="IQRCompaniesN1213" hidden="1">[3]Companies!$O$1213:$P$1213</definedName>
    <definedName name="IQRCompaniesN1214" hidden="1">[3]Companies!$O$1214:$S$1214</definedName>
    <definedName name="IQRCompaniesN1215" hidden="1">[3]Companies!$O$1215:$S$1215</definedName>
    <definedName name="IQRCompaniesN1216" hidden="1">[3]Companies!$O$1216:$S$1216</definedName>
    <definedName name="IQRCompaniesN1217" hidden="1">[3]Companies!$O$1217:$P$1217</definedName>
    <definedName name="IQRCompaniesN1218" hidden="1">[3]Companies!$O$1218</definedName>
    <definedName name="IQRCompaniesN1219" hidden="1">[3]Companies!$O$1219:$Q$1219</definedName>
    <definedName name="IQRCompaniesN122" hidden="1">[3]Companies!$O$122:$Q$122</definedName>
    <definedName name="IQRCompaniesN1220" hidden="1">[3]Companies!$O$1220</definedName>
    <definedName name="IQRCompaniesN1221" hidden="1">[3]Companies!$O$1221</definedName>
    <definedName name="IQRCompaniesN1222" hidden="1">[3]Companies!$O$1222:$P$1222</definedName>
    <definedName name="IQRCompaniesN1223" hidden="1">[3]Companies!$O$1223:$Q$1223</definedName>
    <definedName name="IQRCompaniesN1224" hidden="1">[3]Companies!$O$1224:$S$1224</definedName>
    <definedName name="IQRCompaniesN1225" hidden="1">[3]Companies!$O$1225:$P$1225</definedName>
    <definedName name="IQRCompaniesN1226" hidden="1">[3]Companies!$O$1226</definedName>
    <definedName name="IQRCompaniesN1227" hidden="1">[3]Companies!$O$1227:$S$1227</definedName>
    <definedName name="IQRCompaniesN1228" hidden="1">[3]Companies!$O$1228:$P$1228</definedName>
    <definedName name="IQRCompaniesN1229" hidden="1">[3]Companies!$O$1229:$P$1229</definedName>
    <definedName name="IQRCompaniesN123" hidden="1">[3]Companies!$O$123:$P$123</definedName>
    <definedName name="IQRCompaniesN1230" hidden="1">[3]Companies!$O$1230:$S$1230</definedName>
    <definedName name="IQRCompaniesN1231" hidden="1">[3]Companies!$O$1231:$S$1231</definedName>
    <definedName name="IQRCompaniesN1232" hidden="1">[3]Companies!$O$1232</definedName>
    <definedName name="IQRCompaniesN1233" hidden="1">[3]Companies!$O$1233:$Q$1233</definedName>
    <definedName name="IQRCompaniesN1234" hidden="1">[3]Companies!$O$1234:$S$1234</definedName>
    <definedName name="IQRCompaniesN1235" hidden="1">[3]Companies!$O$1235</definedName>
    <definedName name="IQRCompaniesN1236" hidden="1">[3]Companies!$O$1236:$P$1236</definedName>
    <definedName name="IQRCompaniesN1237" hidden="1">[3]Companies!$O$1237:$Q$1237</definedName>
    <definedName name="IQRCompaniesN1238" hidden="1">[3]Companies!$O$1238</definedName>
    <definedName name="IQRCompaniesN1239" hidden="1">[3]Companies!$O$1239:$P$1239</definedName>
    <definedName name="IQRCompaniesN124" hidden="1">[3]Companies!$O$124:$S$124</definedName>
    <definedName name="IQRCompaniesN1240" hidden="1">[3]Companies!$O$1240</definedName>
    <definedName name="IQRCompaniesN1241" hidden="1">[3]Companies!$O$1241</definedName>
    <definedName name="IQRCompaniesN1242" hidden="1">[3]Companies!$O$1242</definedName>
    <definedName name="IQRCompaniesN1243" hidden="1">[3]Companies!$O$1243:$S$1243</definedName>
    <definedName name="IQRCompaniesN1244" hidden="1">[3]Companies!$O$1244:$Q$1244</definedName>
    <definedName name="IQRCompaniesN1245" hidden="1">[3]Companies!$O$1245:$P$1245</definedName>
    <definedName name="IQRCompaniesN1246" hidden="1">[3]Companies!$O$1246</definedName>
    <definedName name="IQRCompaniesN1247" hidden="1">[3]Companies!$O$1247</definedName>
    <definedName name="IQRCompaniesN1248" hidden="1">[3]Companies!$O$1248:$S$1248</definedName>
    <definedName name="IQRCompaniesN1249" hidden="1">[3]Companies!$O$1249:$S$1249</definedName>
    <definedName name="IQRCompaniesN125" hidden="1">[3]Companies!$O$125</definedName>
    <definedName name="IQRCompaniesN1250" hidden="1">[3]Companies!$O$1250</definedName>
    <definedName name="IQRCompaniesN1251" hidden="1">[3]Companies!$O$1251:$S$1251</definedName>
    <definedName name="IQRCompaniesN1252" hidden="1">[3]Companies!$O$1252:$Q$1252</definedName>
    <definedName name="IQRCompaniesN1253" hidden="1">[3]Companies!$O$1253:$R$1253</definedName>
    <definedName name="IQRCompaniesN1254" hidden="1">[3]Companies!$O$1254:$P$1254</definedName>
    <definedName name="IQRCompaniesN1255" hidden="1">[3]Companies!$O$1255:$S$1255</definedName>
    <definedName name="IQRCompaniesN1256" hidden="1">[3]Companies!$O$1256:$S$1256</definedName>
    <definedName name="IQRCompaniesN1257" hidden="1">[3]Companies!$O$1257:$Q$1257</definedName>
    <definedName name="IQRCompaniesN1258" hidden="1">[3]Companies!$O$1258:$Q$1258</definedName>
    <definedName name="IQRCompaniesN1259" hidden="1">[3]Companies!$O$1259:$P$1259</definedName>
    <definedName name="IQRCompaniesN126" hidden="1">[3]Companies!$O$126:$P$126</definedName>
    <definedName name="IQRCompaniesN1260" hidden="1">[3]Companies!$O$1260</definedName>
    <definedName name="IQRCompaniesN1261" hidden="1">[3]Companies!$O$1261</definedName>
    <definedName name="IQRCompaniesN1262" hidden="1">[3]Companies!$O$1262</definedName>
    <definedName name="IQRCompaniesN1263" hidden="1">[3]Companies!$O$1263</definedName>
    <definedName name="IQRCompaniesN1264" hidden="1">[3]Companies!$O$1264:$S$1264</definedName>
    <definedName name="IQRCompaniesN1265" hidden="1">[3]Companies!$O$1265:$S$1265</definedName>
    <definedName name="IQRCompaniesN1266" hidden="1">[3]Companies!$O$1266:$R$1266</definedName>
    <definedName name="IQRCompaniesN1267" hidden="1">[3]Companies!$O$1267:$Q$1267</definedName>
    <definedName name="IQRCompaniesN1268" hidden="1">[3]Companies!$O$1268</definedName>
    <definedName name="IQRCompaniesN1269" hidden="1">[3]Companies!$O$1269</definedName>
    <definedName name="IQRCompaniesN127" hidden="1">[3]Companies!$O$127:$R$127</definedName>
    <definedName name="IQRCompaniesN1270" hidden="1">[3]Companies!$O$1270</definedName>
    <definedName name="IQRCompaniesN1271" hidden="1">[3]Companies!$O$1271:$P$1271</definedName>
    <definedName name="IQRCompaniesN1272" hidden="1">[3]Companies!$O$1272</definedName>
    <definedName name="IQRCompaniesN1273" hidden="1">[3]Companies!$O$1273</definedName>
    <definedName name="IQRCompaniesN1274" hidden="1">[3]Companies!$O$1274:$S$1274</definedName>
    <definedName name="IQRCompaniesN1275" hidden="1">[3]Companies!$O$1275</definedName>
    <definedName name="IQRCompaniesN1276" hidden="1">[3]Companies!$O$1276:$S$1276</definedName>
    <definedName name="IQRCompaniesN1277" hidden="1">[3]Companies!$O$1277:$S$1277</definedName>
    <definedName name="IQRCompaniesN1278" hidden="1">[3]Companies!$O$1278:$R$1278</definedName>
    <definedName name="IQRCompaniesN1279" hidden="1">[3]Companies!$O$1279:$P$1279</definedName>
    <definedName name="IQRCompaniesN128" hidden="1">[3]Companies!$O$128:$Q$128</definedName>
    <definedName name="IQRCompaniesN1280" hidden="1">[3]Companies!$O$1280:$P$1280</definedName>
    <definedName name="IQRCompaniesN1281" hidden="1">[3]Companies!$O$1281</definedName>
    <definedName name="IQRCompaniesN1282" hidden="1">[3]Companies!$O$1282:$S$1282</definedName>
    <definedName name="IQRCompaniesN1283" hidden="1">[3]Companies!$O$1283</definedName>
    <definedName name="IQRCompaniesN1284" hidden="1">[3]Companies!$O$1284</definedName>
    <definedName name="IQRCompaniesN1285" hidden="1">[3]Companies!$O$1285:$S$1285</definedName>
    <definedName name="IQRCompaniesN1286" hidden="1">[3]Companies!$O$1286:$R$1286</definedName>
    <definedName name="IQRCompaniesN1287" hidden="1">[3]Companies!$O$1287:$S$1287</definedName>
    <definedName name="IQRCompaniesN1288" hidden="1">[3]Companies!$O$1288:$P$1288</definedName>
    <definedName name="IQRCompaniesN1289" hidden="1">[3]Companies!$O$1289</definedName>
    <definedName name="IQRCompaniesN129" hidden="1">[3]Companies!$O$129:$P$129</definedName>
    <definedName name="IQRCompaniesN1290" hidden="1">[3]Companies!$O$1290</definedName>
    <definedName name="IQRCompaniesN1291" hidden="1">[3]Companies!$O$1291:$Q$1291</definedName>
    <definedName name="IQRCompaniesN1292" hidden="1">[3]Companies!$O$1292</definedName>
    <definedName name="IQRCompaniesN1293" hidden="1">[3]Companies!$O$1293:$S$1293</definedName>
    <definedName name="IQRCompaniesN1294" hidden="1">[3]Companies!$O$1294</definedName>
    <definedName name="IQRCompaniesN1295" hidden="1">[3]Companies!$O$1295</definedName>
    <definedName name="IQRCompaniesN1296" hidden="1">[3]Companies!$O$1296:$P$1296</definedName>
    <definedName name="IQRCompaniesN1297" hidden="1">[3]Companies!$O$1297:$R$1297</definedName>
    <definedName name="IQRCompaniesN1298" hidden="1">[3]Companies!$O$1298</definedName>
    <definedName name="IQRCompaniesN1299" hidden="1">[3]Companies!$O$1299:$Q$1299</definedName>
    <definedName name="IQRCompaniesN13" hidden="1">[2]Companies!$O$13:$S$13</definedName>
    <definedName name="IQRCompaniesN130" hidden="1">[3]Companies!$O$130</definedName>
    <definedName name="IQRCompaniesN1300" hidden="1">[3]Companies!$O$1300</definedName>
    <definedName name="IQRCompaniesN1301" hidden="1">[3]Companies!$O$1301:$P$1301</definedName>
    <definedName name="IQRCompaniesN1302" hidden="1">[3]Companies!$O$1302:$Q$1302</definedName>
    <definedName name="IQRCompaniesN131" hidden="1">[3]Companies!$O$131:$S$131</definedName>
    <definedName name="IQRCompaniesN132" hidden="1">[3]Companies!$O$132</definedName>
    <definedName name="IQRCompaniesN133" hidden="1">[3]Companies!$O$133:$S$133</definedName>
    <definedName name="IQRCompaniesN134" hidden="1">[3]Companies!$O$134</definedName>
    <definedName name="IQRCompaniesN135" hidden="1">[3]Companies!$O$135:$P$135</definedName>
    <definedName name="IQRCompaniesN136" hidden="1">[3]Companies!$O$136:$Q$136</definedName>
    <definedName name="IQRCompaniesN137" hidden="1">[3]Companies!$O$137:$P$137</definedName>
    <definedName name="IQRCompaniesN138" hidden="1">[3]Companies!$O$138:$R$138</definedName>
    <definedName name="IQRCompaniesN139" hidden="1">[3]Companies!$O$139:$P$139</definedName>
    <definedName name="IQRCompaniesN14" hidden="1">[2]Companies!$O$14:$S$14</definedName>
    <definedName name="IQRCompaniesN140" hidden="1">[3]Companies!$O$140:$R$140</definedName>
    <definedName name="IQRCompaniesN141" hidden="1">[3]Companies!$O$141:$S$141</definedName>
    <definedName name="IQRCompaniesN142" hidden="1">[3]Companies!$O$142:$R$142</definedName>
    <definedName name="IQRCompaniesN143" hidden="1">[3]Companies!$O$143:$P$143</definedName>
    <definedName name="IQRCompaniesN144" hidden="1">[3]Companies!$O$144</definedName>
    <definedName name="IQRCompaniesN145" hidden="1">[3]Companies!$O$145:$P$145</definedName>
    <definedName name="IQRCompaniesN146" hidden="1">[3]Companies!$O$146:$P$146</definedName>
    <definedName name="IQRCompaniesN147" hidden="1">[3]Companies!$O$147:$S$147</definedName>
    <definedName name="IQRCompaniesN148" hidden="1">[3]Companies!$O$148:$P$148</definedName>
    <definedName name="IQRCompaniesN149" hidden="1">[3]Companies!$O$149</definedName>
    <definedName name="IQRCompaniesN15" hidden="1">[2]Companies!$O$15:$S$15</definedName>
    <definedName name="IQRCompaniesN150" hidden="1">[3]Companies!$O$150:$Q$150</definedName>
    <definedName name="IQRCompaniesN151" hidden="1">[3]Companies!$O$151</definedName>
    <definedName name="IQRCompaniesN152" hidden="1">[3]Companies!$O$152:$R$152</definedName>
    <definedName name="IQRCompaniesN153" hidden="1">[3]Companies!$O$153</definedName>
    <definedName name="IQRCompaniesN154" hidden="1">[3]Companies!$O$154:$S$154</definedName>
    <definedName name="IQRCompaniesN155" hidden="1">[3]Companies!$O$155:$S$155</definedName>
    <definedName name="IQRCompaniesN156" hidden="1">[3]Companies!$O$156</definedName>
    <definedName name="IQRCompaniesN157" hidden="1">[3]Companies!$O$157:$S$157</definedName>
    <definedName name="IQRCompaniesN158" hidden="1">[3]Companies!$O$158:$S$158</definedName>
    <definedName name="IQRCompaniesN159" hidden="1">[3]Companies!$O$159</definedName>
    <definedName name="IQRCompaniesN16" hidden="1">[2]Companies!$O$16:$S$16</definedName>
    <definedName name="IQRCompaniesN160" hidden="1">[3]Companies!$O$160:$Q$160</definedName>
    <definedName name="IQRCompaniesN161" hidden="1">[3]Companies!$O$161:$P$161</definedName>
    <definedName name="IQRCompaniesN162" hidden="1">[3]Companies!$O$162:$P$162</definedName>
    <definedName name="IQRCompaniesN163" hidden="1">[3]Companies!$O$163</definedName>
    <definedName name="IQRCompaniesN164" hidden="1">[3]Companies!$O$164:$P$164</definedName>
    <definedName name="IQRCompaniesN165" hidden="1">[3]Companies!$O$165:$S$165</definedName>
    <definedName name="IQRCompaniesN166" hidden="1">[3]Companies!$O$166</definedName>
    <definedName name="IQRCompaniesN167" hidden="1">[3]Companies!$O$167:$P$167</definedName>
    <definedName name="IQRCompaniesN168" hidden="1">[3]Companies!$O$168:$Q$168</definedName>
    <definedName name="IQRCompaniesN169" hidden="1">[3]Companies!$O$169:$S$169</definedName>
    <definedName name="IQRCompaniesN17" hidden="1">[2]Companies!$O$17:$S$17</definedName>
    <definedName name="IQRCompaniesN170" hidden="1">[3]Companies!$O$170</definedName>
    <definedName name="IQRCompaniesN171" hidden="1">[3]Companies!$O$171</definedName>
    <definedName name="IQRCompaniesN172" hidden="1">[3]Companies!$O$172:$P$172</definedName>
    <definedName name="IQRCompaniesN173" hidden="1">[3]Companies!$O$173</definedName>
    <definedName name="IQRCompaniesN174" hidden="1">[3]Companies!$O$174</definedName>
    <definedName name="IQRCompaniesN175" hidden="1">[3]Companies!$O$175:$S$175</definedName>
    <definedName name="IQRCompaniesN176" hidden="1">[3]Companies!$O$176</definedName>
    <definedName name="IQRCompaniesN177" hidden="1">[3]Companies!$O$177</definedName>
    <definedName name="IQRCompaniesN178" hidden="1">[3]Companies!$O$178:$S$178</definedName>
    <definedName name="IQRCompaniesN179" hidden="1">[3]Companies!$O$179:$P$179</definedName>
    <definedName name="IQRCompaniesN18" hidden="1">[2]Companies!$O$18:$S$18</definedName>
    <definedName name="IQRCompaniesN180" hidden="1">[3]Companies!$O$180</definedName>
    <definedName name="IQRCompaniesN181" hidden="1">[3]Companies!$O$181:$S$181</definedName>
    <definedName name="IQRCompaniesN182" hidden="1">[3]Companies!$O$182</definedName>
    <definedName name="IQRCompaniesN183" hidden="1">[3]Companies!$O$183:$P$183</definedName>
    <definedName name="IQRCompaniesN184" hidden="1">[3]Companies!$O$184</definedName>
    <definedName name="IQRCompaniesN185" hidden="1">[3]Companies!$O$185:$P$185</definedName>
    <definedName name="IQRCompaniesN186" hidden="1">[3]Companies!$O$186</definedName>
    <definedName name="IQRCompaniesN187" hidden="1">[3]Companies!$O$187:$S$187</definedName>
    <definedName name="IQRCompaniesN188" hidden="1">[3]Companies!$O$188:$S$188</definedName>
    <definedName name="IQRCompaniesN189" hidden="1">[3]Companies!$O$189:$S$189</definedName>
    <definedName name="IQRCompaniesN19" hidden="1">[2]Companies!$O$19:$S$19</definedName>
    <definedName name="IQRCompaniesN190" hidden="1">[3]Companies!$O$190:$S$190</definedName>
    <definedName name="IQRCompaniesN191" hidden="1">[3]Companies!$O$191:$S$191</definedName>
    <definedName name="IQRCompaniesN192" hidden="1">[3]Companies!$O$192</definedName>
    <definedName name="IQRCompaniesN193" hidden="1">[3]Companies!$O$193</definedName>
    <definedName name="IQRCompaniesN194" hidden="1">[3]Companies!$O$194:$P$194</definedName>
    <definedName name="IQRCompaniesN195" hidden="1">[3]Companies!$O$195</definedName>
    <definedName name="IQRCompaniesN196" hidden="1">[3]Companies!$O$196:$Q$196</definedName>
    <definedName name="IQRCompaniesN197" hidden="1">[3]Companies!$O$197:$S$197</definedName>
    <definedName name="IQRCompaniesN198" hidden="1">[3]Companies!$O$198:$P$198</definedName>
    <definedName name="IQRCompaniesN199" hidden="1">[3]Companies!$O$199:$R$199</definedName>
    <definedName name="IQRCompaniesN20" hidden="1">[2]Companies!$O$20:$S$20</definedName>
    <definedName name="IQRCompaniesN200" hidden="1">[3]Companies!$O$200</definedName>
    <definedName name="IQRCompaniesN201" hidden="1">[3]Companies!$O$201:$S$201</definedName>
    <definedName name="IQRCompaniesN2015" hidden="1">[4]Companies!$O$2015:$S$2015</definedName>
    <definedName name="IQRCompaniesN2017" hidden="1">[3]Companies!$O$2017:$P$2017</definedName>
    <definedName name="IQRCompaniesN202" hidden="1">[3]Companies!$O$202:$P$202</definedName>
    <definedName name="IQRCompaniesN2025" hidden="1">[3]Companies!$O$2025</definedName>
    <definedName name="IQRCompaniesN203" hidden="1">[3]Companies!$O$203:$P$203</definedName>
    <definedName name="IQRCompaniesN204" hidden="1">[3]Companies!$O$204</definedName>
    <definedName name="IQRCompaniesN205" hidden="1">[3]Companies!$O$205:$P$205</definedName>
    <definedName name="IQRCompaniesN206" hidden="1">[3]Companies!$O$206:$Q$206</definedName>
    <definedName name="IQRCompaniesN207" hidden="1">[3]Companies!$O$207:$S$207</definedName>
    <definedName name="IQRCompaniesN208" hidden="1">[3]Companies!$O$208:$S$208</definedName>
    <definedName name="IQRCompaniesN209" hidden="1">[3]Companies!$O$209:$Q$209</definedName>
    <definedName name="IQRCompaniesN21" hidden="1">[2]Companies!$O$21:$S$21</definedName>
    <definedName name="IQRCompaniesN210" hidden="1">[3]Companies!$O$210:$Q$210</definedName>
    <definedName name="IQRCompaniesN211" hidden="1">[3]Companies!$O$211:$S$211</definedName>
    <definedName name="IQRCompaniesN212" hidden="1">[3]Companies!$O$212:$S$212</definedName>
    <definedName name="IQRCompaniesN213" hidden="1">[3]Companies!$O$213:$S$213</definedName>
    <definedName name="IQRCompaniesN214" hidden="1">[3]Companies!$O$214:$S$214</definedName>
    <definedName name="IQRCompaniesN215" hidden="1">[3]Companies!$O$215:$Q$215</definedName>
    <definedName name="IQRCompaniesN216" hidden="1">[3]Companies!$O$216:$S$216</definedName>
    <definedName name="IQRCompaniesN217" hidden="1">[3]Companies!$O$217:$S$217</definedName>
    <definedName name="IQRCompaniesN218" hidden="1">[3]Companies!$O$218</definedName>
    <definedName name="IQRCompaniesN219" hidden="1">[3]Companies!$O$219:$S$219</definedName>
    <definedName name="IQRCompaniesN22" hidden="1">[2]Companies!$O$22:$S$22</definedName>
    <definedName name="IQRCompaniesN220" hidden="1">[3]Companies!$O$220</definedName>
    <definedName name="IQRCompaniesN221" hidden="1">[3]Companies!$O$221:$S$221</definedName>
    <definedName name="IQRCompaniesN222" hidden="1">[3]Companies!$O$222</definedName>
    <definedName name="IQRCompaniesN223" hidden="1">[3]Companies!$O$223:$S$223</definedName>
    <definedName name="IQRCompaniesN224" hidden="1">[3]Companies!$O$224:$Q$224</definedName>
    <definedName name="IQRCompaniesN225" hidden="1">[3]Companies!$O$225:$S$225</definedName>
    <definedName name="IQRCompaniesN226" hidden="1">[3]Companies!$O$226</definedName>
    <definedName name="IQRCompaniesN227" hidden="1">[3]Companies!$O$227:$P$227</definedName>
    <definedName name="IQRCompaniesN228" hidden="1">[3]Companies!$O$228:$P$228</definedName>
    <definedName name="IQRCompaniesN229" hidden="1">[3]Companies!$O$229</definedName>
    <definedName name="IQRCompaniesN23" hidden="1">[2]Companies!$O$23</definedName>
    <definedName name="IQRCompaniesN230" hidden="1">[3]Companies!$O$230</definedName>
    <definedName name="IQRCompaniesN231" hidden="1">[3]Companies!$O$231:$R$231</definedName>
    <definedName name="IQRCompaniesN232" hidden="1">[3]Companies!$O$232:$Q$232</definedName>
    <definedName name="IQRCompaniesN233" hidden="1">[3]Companies!$O$233:$Q$233</definedName>
    <definedName name="IQRCompaniesN234" hidden="1">[3]Companies!$O$234:$S$234</definedName>
    <definedName name="IQRCompaniesN235" hidden="1">[3]Companies!$O$235:$S$235</definedName>
    <definedName name="IQRCompaniesN236" hidden="1">[3]Companies!$O$236:$Q$236</definedName>
    <definedName name="IQRCompaniesN237" hidden="1">[3]Companies!$O$237:$P$237</definedName>
    <definedName name="IQRCompaniesN238" hidden="1">[3]Companies!$O$238</definedName>
    <definedName name="IQRCompaniesN239" hidden="1">[3]Companies!$O$239:$R$239</definedName>
    <definedName name="IQRCompaniesN24" hidden="1">[2]Companies!$O$24:$S$24</definedName>
    <definedName name="IQRCompaniesN240" hidden="1">[3]Companies!$O$240:$S$240</definedName>
    <definedName name="IQRCompaniesN241" hidden="1">[3]Companies!$O$241:$S$241</definedName>
    <definedName name="IQRCompaniesN242" hidden="1">[3]Companies!$O$242:$R$242</definedName>
    <definedName name="IQRCompaniesN243" hidden="1">[3]Companies!$O$243:$S$243</definedName>
    <definedName name="IQRCompaniesN244" hidden="1">[3]Companies!$O$244</definedName>
    <definedName name="IQRCompaniesN245" hidden="1">[3]Companies!$O$245:$P$245</definedName>
    <definedName name="IQRCompaniesN246" hidden="1">[3]Companies!$O$246:$Q$246</definedName>
    <definedName name="IQRCompaniesN247" hidden="1">[3]Companies!$O$247:$P$247</definedName>
    <definedName name="IQRCompaniesN248" hidden="1">[3]Companies!$O$248:$S$248</definedName>
    <definedName name="IQRCompaniesN249" hidden="1">[3]Companies!$O$249</definedName>
    <definedName name="IQRCompaniesN25" hidden="1">[2]Companies!$O$25</definedName>
    <definedName name="IQRCompaniesN250" hidden="1">[3]Companies!$O$250:$S$250</definedName>
    <definedName name="IQRCompaniesN251" hidden="1">[3]Companies!$O$251:$P$251</definedName>
    <definedName name="IQRCompaniesN252" hidden="1">[3]Companies!$O$252:$S$252</definedName>
    <definedName name="IQRCompaniesN253" hidden="1">[3]Companies!$O$253</definedName>
    <definedName name="IQRCompaniesN254" hidden="1">[3]Companies!$O$254:$P$254</definedName>
    <definedName name="IQRCompaniesN255" hidden="1">[3]Companies!$O$255</definedName>
    <definedName name="IQRCompaniesN256" hidden="1">[3]Companies!$O$256:$R$256</definedName>
    <definedName name="IQRCompaniesN257" hidden="1">[3]Companies!$O$257:$Q$257</definedName>
    <definedName name="IQRCompaniesN258" hidden="1">[3]Companies!$O$258:$Q$258</definedName>
    <definedName name="IQRCompaniesN259" hidden="1">[3]Companies!$O$259</definedName>
    <definedName name="IQRCompaniesN26" hidden="1">[2]Companies!$O$26:$S$26</definedName>
    <definedName name="IQRCompaniesN260" hidden="1">[3]Companies!$O$260:$P$260</definedName>
    <definedName name="IQRCompaniesN261" hidden="1">[3]Companies!$O$261</definedName>
    <definedName name="IQRCompaniesN262" hidden="1">[3]Companies!$O$262</definedName>
    <definedName name="IQRCompaniesN263" hidden="1">[3]Companies!$O$263</definedName>
    <definedName name="IQRCompaniesN264" hidden="1">[3]Companies!$O$264</definedName>
    <definedName name="IQRCompaniesN265" hidden="1">[3]Companies!$O$265:$P$265</definedName>
    <definedName name="IQRCompaniesN266" hidden="1">[3]Companies!$O$266:$S$266</definedName>
    <definedName name="IQRCompaniesN267" hidden="1">[3]Companies!$O$267:$S$267</definedName>
    <definedName name="IQRCompaniesN268" hidden="1">[3]Companies!$O$268:$R$268</definedName>
    <definedName name="IQRCompaniesN269" hidden="1">[3]Companies!$O$269</definedName>
    <definedName name="IQRCompaniesN27" hidden="1">[2]Companies!$O$27:$S$27</definedName>
    <definedName name="IQRCompaniesN270" hidden="1">[3]Companies!$O$270:$Q$270</definedName>
    <definedName name="IQRCompaniesN271" hidden="1">[3]Companies!$O$271:$S$271</definedName>
    <definedName name="IQRCompaniesN272" hidden="1">[3]Companies!$O$272:$Q$272</definedName>
    <definedName name="IQRCompaniesN273" hidden="1">[3]Companies!$O$273:$S$273</definedName>
    <definedName name="IQRCompaniesN274" hidden="1">[3]Companies!$O$274:$P$274</definedName>
    <definedName name="IQRCompaniesN275" hidden="1">[3]Companies!$O$275:$S$275</definedName>
    <definedName name="IQRCompaniesN276" hidden="1">[3]Companies!$O$276:$S$276</definedName>
    <definedName name="IQRCompaniesN277" hidden="1">[3]Companies!$O$277:$S$277</definedName>
    <definedName name="IQRCompaniesN278" hidden="1">[3]Companies!$O$278:$S$278</definedName>
    <definedName name="IQRCompaniesN279" hidden="1">[3]Companies!$O$279:$S$279</definedName>
    <definedName name="IQRCompaniesN28" hidden="1">[2]Companies!$O$28:$S$28</definedName>
    <definedName name="IQRCompaniesN280" hidden="1">[3]Companies!$O$280</definedName>
    <definedName name="IQRCompaniesN281" hidden="1">[3]Companies!$O$281</definedName>
    <definedName name="IQRCompaniesN282" hidden="1">[3]Companies!$O$282:$P$282</definedName>
    <definedName name="IQRCompaniesN283" hidden="1">[3]Companies!$O$283</definedName>
    <definedName name="IQRCompaniesN284" hidden="1">[3]Companies!$O$284</definedName>
    <definedName name="IQRCompaniesN285" hidden="1">[3]Companies!$O$285</definedName>
    <definedName name="IQRCompaniesN286" hidden="1">[3]Companies!$O$286</definedName>
    <definedName name="IQRCompaniesN287" hidden="1">[3]Companies!$O$287</definedName>
    <definedName name="IQRCompaniesN288" hidden="1">[3]Companies!$O$288</definedName>
    <definedName name="IQRCompaniesN289" hidden="1">[3]Companies!$O$289:$P$289</definedName>
    <definedName name="IQRCompaniesN29" hidden="1">[3]Companies!$O$29:$R$29</definedName>
    <definedName name="IQRCompaniesN290" hidden="1">[3]Companies!$O$290</definedName>
    <definedName name="IQRCompaniesN291" hidden="1">[3]Companies!$O$291</definedName>
    <definedName name="IQRCompaniesN292" hidden="1">[3]Companies!$O$292:$P$292</definedName>
    <definedName name="IQRCompaniesN293" hidden="1">[3]Companies!$O$293:$S$293</definedName>
    <definedName name="IQRCompaniesN294" hidden="1">[3]Companies!$O$294:$R$294</definedName>
    <definedName name="IQRCompaniesN295" hidden="1">[3]Companies!$O$295</definedName>
    <definedName name="IQRCompaniesN296" hidden="1">[3]Companies!$O$296</definedName>
    <definedName name="IQRCompaniesN297" hidden="1">[3]Companies!$O$297</definedName>
    <definedName name="IQRCompaniesN298" hidden="1">[3]Companies!$O$298</definedName>
    <definedName name="IQRCompaniesN299" hidden="1">[3]Companies!$O$299</definedName>
    <definedName name="IQRCompaniesN30" hidden="1">[2]Companies!$O$30:$S$30</definedName>
    <definedName name="IQRCompaniesN300" hidden="1">[3]Companies!$O$300</definedName>
    <definedName name="IQRCompaniesN301" hidden="1">[3]Companies!$O$301:$P$301</definedName>
    <definedName name="IQRCompaniesN302" hidden="1">[3]Companies!$O$302:$R$302</definedName>
    <definedName name="IQRCompaniesN303" hidden="1">[3]Companies!$O$303</definedName>
    <definedName name="IQRCompaniesN304" hidden="1">[3]Companies!$O$304</definedName>
    <definedName name="IQRCompaniesN305" hidden="1">[3]Companies!$O$305</definedName>
    <definedName name="IQRCompaniesN306" hidden="1">[3]Companies!$O$306</definedName>
    <definedName name="IQRCompaniesN307" hidden="1">[3]Companies!$O$307</definedName>
    <definedName name="IQRCompaniesN308" hidden="1">[3]Companies!$O$308</definedName>
    <definedName name="IQRCompaniesN309" hidden="1">[3]Companies!$O$309:$S$309</definedName>
    <definedName name="IQRCompaniesN31" hidden="1">[5]Companies!$O$31</definedName>
    <definedName name="IQRCompaniesN310" hidden="1">[3]Companies!$O$310:$S$310</definedName>
    <definedName name="IQRCompaniesN311" hidden="1">[3]Companies!$O$311:$S$311</definedName>
    <definedName name="IQRCompaniesN312" hidden="1">[3]Companies!$O$312:$S$312</definedName>
    <definedName name="IQRCompaniesN313" hidden="1">[3]Companies!$O$313:$S$313</definedName>
    <definedName name="IQRCompaniesN314" hidden="1">[3]Companies!$O$314:$P$314</definedName>
    <definedName name="IQRCompaniesN315" hidden="1">[3]Companies!$O$315:$P$315</definedName>
    <definedName name="IQRCompaniesN316" hidden="1">[3]Companies!$O$316:$S$316</definedName>
    <definedName name="IQRCompaniesN317" hidden="1">[3]Companies!$O$317:$S$317</definedName>
    <definedName name="IQRCompaniesN318" hidden="1">[3]Companies!$O$318:$Q$318</definedName>
    <definedName name="IQRCompaniesN319" hidden="1">[3]Companies!$O$319:$S$319</definedName>
    <definedName name="IQRCompaniesN32" hidden="1">[2]Companies!$O$32:$S$32</definedName>
    <definedName name="IQRCompaniesN320" hidden="1">[3]Companies!$O$320:$S$320</definedName>
    <definedName name="IQRCompaniesN321" hidden="1">[3]Companies!$O$321:$S$321</definedName>
    <definedName name="IQRCompaniesN322" hidden="1">[3]Companies!$O$322:$S$322</definedName>
    <definedName name="IQRCompaniesN323" hidden="1">[3]Companies!$O$323</definedName>
    <definedName name="IQRCompaniesN324" hidden="1">[3]Companies!$O$324</definedName>
    <definedName name="IQRCompaniesN325" hidden="1">[3]Companies!$O$325:$S$325</definedName>
    <definedName name="IQRCompaniesN326" hidden="1">[3]Companies!$O$326:$S$326</definedName>
    <definedName name="IQRCompaniesN327" hidden="1">[3]Companies!$O$327:$P$327</definedName>
    <definedName name="IQRCompaniesN328" hidden="1">[3]Companies!$O$328:$S$328</definedName>
    <definedName name="IQRCompaniesN329" hidden="1">[3]Companies!$O$329</definedName>
    <definedName name="IQRCompaniesN33" hidden="1">[2]Companies!$O$33:$S$33</definedName>
    <definedName name="IQRCompaniesN330" hidden="1">[3]Companies!$O$330</definedName>
    <definedName name="IQRCompaniesN331" hidden="1">[3]Companies!$O$331:$P$331</definedName>
    <definedName name="IQRCompaniesN332" hidden="1">[3]Companies!$O$332:$P$332</definedName>
    <definedName name="IQRCompaniesN333" hidden="1">[3]Companies!$O$333</definedName>
    <definedName name="IQRCompaniesN334" hidden="1">[3]Companies!$O$334:$P$334</definedName>
    <definedName name="IQRCompaniesN335" hidden="1">[3]Companies!$O$335:$S$335</definedName>
    <definedName name="IQRCompaniesN336" hidden="1">[3]Companies!$O$336:$S$336</definedName>
    <definedName name="IQRCompaniesN337" hidden="1">[3]Companies!$O$337</definedName>
    <definedName name="IQRCompaniesN338" hidden="1">[3]Companies!$O$338:$S$338</definedName>
    <definedName name="IQRCompaniesN339" hidden="1">[3]Companies!$O$339:$S$339</definedName>
    <definedName name="IQRCompaniesN34" hidden="1">[2]Companies!$O$34:$S$34</definedName>
    <definedName name="IQRCompaniesN340" hidden="1">[3]Companies!$O$340:$S$340</definedName>
    <definedName name="IQRCompaniesN341" hidden="1">[3]Companies!$O$341:$S$341</definedName>
    <definedName name="IQRCompaniesN342" hidden="1">[3]Companies!$O$342:$Q$342</definedName>
    <definedName name="IQRCompaniesN343" hidden="1">[3]Companies!$O$343</definedName>
    <definedName name="IQRCompaniesN344" hidden="1">[3]Companies!$O$344:$P$344</definedName>
    <definedName name="IQRCompaniesN345" hidden="1">[3]Companies!$O$345</definedName>
    <definedName name="IQRCompaniesN346" hidden="1">[3]Companies!$O$346:$Q$346</definedName>
    <definedName name="IQRCompaniesN347" hidden="1">[3]Companies!$O$347</definedName>
    <definedName name="IQRCompaniesN348" hidden="1">[3]Companies!$O$348:$S$348</definedName>
    <definedName name="IQRCompaniesN349" hidden="1">[3]Companies!$O$349:$S$349</definedName>
    <definedName name="IQRCompaniesN35" hidden="1">[2]Companies!$O$35:$Q$35</definedName>
    <definedName name="IQRCompaniesN350" hidden="1">[3]Companies!$O$350</definedName>
    <definedName name="IQRCompaniesN351" hidden="1">[3]Companies!$O$351</definedName>
    <definedName name="IQRCompaniesN352" hidden="1">[3]Companies!$O$352</definedName>
    <definedName name="IQRCompaniesN353" hidden="1">[3]Companies!$O$353:$S$353</definedName>
    <definedName name="IQRCompaniesN354" hidden="1">[3]Companies!$O$354:$S$354</definedName>
    <definedName name="IQRCompaniesN355" hidden="1">[3]Companies!$O$355:$S$355</definedName>
    <definedName name="IQRCompaniesN356" hidden="1">[3]Companies!$O$356</definedName>
    <definedName name="IQRCompaniesN357" hidden="1">[3]Companies!$O$357:$P$357</definedName>
    <definedName name="IQRCompaniesN358" hidden="1">[3]Companies!$O$358:$S$358</definedName>
    <definedName name="IQRCompaniesN359" hidden="1">[3]Companies!$O$359:$Q$359</definedName>
    <definedName name="IQRCompaniesN36" hidden="1">[2]Companies!$O$36</definedName>
    <definedName name="IQRCompaniesN360" hidden="1">[3]Companies!$O$360</definedName>
    <definedName name="IQRCompaniesN361" hidden="1">[3]Companies!$O$361:$Q$361</definedName>
    <definedName name="IQRCompaniesN362" hidden="1">[3]Companies!$O$362:$P$362</definedName>
    <definedName name="IQRCompaniesN363" hidden="1">[3]Companies!$O$363:$S$363</definedName>
    <definedName name="IQRCompaniesN364" hidden="1">[3]Companies!$O$364</definedName>
    <definedName name="IQRCompaniesN365" hidden="1">[3]Companies!$O$365:$P$365</definedName>
    <definedName name="IQRCompaniesN366" hidden="1">[3]Companies!$O$366:$S$366</definedName>
    <definedName name="IQRCompaniesN367" hidden="1">[3]Companies!$O$367:$S$367</definedName>
    <definedName name="IQRCompaniesN368" hidden="1">[3]Companies!$O$368:$R$368</definedName>
    <definedName name="IQRCompaniesN369" hidden="1">[3]Companies!$O$369:$P$369</definedName>
    <definedName name="IQRCompaniesN37" hidden="1">[2]Companies!$O$37:$S$37</definedName>
    <definedName name="IQRCompaniesN370" hidden="1">[3]Companies!$O$370:$R$370</definedName>
    <definedName name="IQRCompaniesN371" hidden="1">[3]Companies!$O$371:$S$371</definedName>
    <definedName name="IQRCompaniesN372" hidden="1">[3]Companies!$O$372:$P$372</definedName>
    <definedName name="IQRCompaniesN373" hidden="1">[3]Companies!$O$373</definedName>
    <definedName name="IQRCompaniesN374" hidden="1">[3]Companies!$O$374</definedName>
    <definedName name="IQRCompaniesN375" hidden="1">[3]Companies!$O$375</definedName>
    <definedName name="IQRCompaniesN376" hidden="1">[3]Companies!$O$376:$R$376</definedName>
    <definedName name="IQRCompaniesN377" hidden="1">[3]Companies!$O$377:$P$377</definedName>
    <definedName name="IQRCompaniesN378" hidden="1">[3]Companies!$O$378:$P$378</definedName>
    <definedName name="IQRCompaniesN379" hidden="1">[3]Companies!$O$379</definedName>
    <definedName name="IQRCompaniesN38" hidden="1">[2]Companies!$O$38:$S$38</definedName>
    <definedName name="IQRCompaniesN380" hidden="1">[3]Companies!$O$380:$P$380</definedName>
    <definedName name="IQRCompaniesN381" hidden="1">[3]Companies!$O$381:$S$381</definedName>
    <definedName name="IQRCompaniesN382" hidden="1">[3]Companies!$O$382:$S$382</definedName>
    <definedName name="IQRCompaniesN383" hidden="1">[3]Companies!$O$383:$S$383</definedName>
    <definedName name="IQRCompaniesN384" hidden="1">[3]Companies!$O$384:$P$384</definedName>
    <definedName name="IQRCompaniesN385" hidden="1">[3]Companies!$O$385</definedName>
    <definedName name="IQRCompaniesN386" hidden="1">[3]Companies!$O$386:$Q$386</definedName>
    <definedName name="IQRCompaniesN387" hidden="1">[3]Companies!$O$387</definedName>
    <definedName name="IQRCompaniesN388" hidden="1">[3]Companies!$O$388:$S$388</definedName>
    <definedName name="IQRCompaniesN389" hidden="1">[3]Companies!$O$389:$S$389</definedName>
    <definedName name="IQRCompaniesN39" hidden="1">[2]Companies!$O$39:$S$39</definedName>
    <definedName name="IQRCompaniesN390" hidden="1">[3]Companies!$O$390</definedName>
    <definedName name="IQRCompaniesN391" hidden="1">[3]Companies!$O$391:$P$391</definedName>
    <definedName name="IQRCompaniesN392" hidden="1">[3]Companies!$O$392</definedName>
    <definedName name="IQRCompaniesN393" hidden="1">[3]Companies!$O$393:$S$393</definedName>
    <definedName name="IQRCompaniesN394" hidden="1">[3]Companies!$O$394</definedName>
    <definedName name="IQRCompaniesN395" hidden="1">[3]Companies!$O$395</definedName>
    <definedName name="IQRCompaniesN396" hidden="1">[3]Companies!$O$396</definedName>
    <definedName name="IQRCompaniesN397" hidden="1">[3]Companies!$O$397:$S$397</definedName>
    <definedName name="IQRCompaniesN398" hidden="1">[3]Companies!$O$398:$S$398</definedName>
    <definedName name="IQRCompaniesN399" hidden="1">[3]Companies!$O$399:$S$399</definedName>
    <definedName name="IQRCompaniesN40" hidden="1">[2]Companies!$O$40:$S$40</definedName>
    <definedName name="IQRCompaniesN400" hidden="1">[3]Companies!$O$400</definedName>
    <definedName name="IQRCompaniesN401" hidden="1">[3]Companies!$O$401:$S$401</definedName>
    <definedName name="IQRCompaniesN402" hidden="1">[3]Companies!$O$402:$S$402</definedName>
    <definedName name="IQRCompaniesN403" hidden="1">[3]Companies!$O$403:$R$403</definedName>
    <definedName name="IQRCompaniesN404" hidden="1">[3]Companies!$O$404</definedName>
    <definedName name="IQRCompaniesN405" hidden="1">[3]Companies!$O$405:$Q$405</definedName>
    <definedName name="IQRCompaniesN406" hidden="1">[3]Companies!$O$406:$S$406</definedName>
    <definedName name="IQRCompaniesN407" hidden="1">[3]Companies!$O$407</definedName>
    <definedName name="IQRCompaniesN408" hidden="1">[3]Companies!$O$408:$S$408</definedName>
    <definedName name="IQRCompaniesN409" hidden="1">[3]Companies!$O$409:$P$409</definedName>
    <definedName name="IQRCompaniesN41" hidden="1">[3]Companies!$O$41:$P$41</definedName>
    <definedName name="IQRCompaniesN410" hidden="1">[3]Companies!$O$410:$Q$410</definedName>
    <definedName name="IQRCompaniesN411" hidden="1">[3]Companies!$O$411:$S$411</definedName>
    <definedName name="IQRCompaniesN412" hidden="1">[3]Companies!$O$412:$P$412</definedName>
    <definedName name="IQRCompaniesN413" hidden="1">[3]Companies!$O$413</definedName>
    <definedName name="IQRCompaniesN414" hidden="1">[3]Companies!$O$414:$P$414</definedName>
    <definedName name="IQRCompaniesN415" hidden="1">[3]Companies!$O$415:$Q$415</definedName>
    <definedName name="IQRCompaniesN416" hidden="1">[3]Companies!$O$416</definedName>
    <definedName name="IQRCompaniesN417" hidden="1">[3]Companies!$O$417:$S$417</definedName>
    <definedName name="IQRCompaniesN418" hidden="1">[3]Companies!$O$418:$P$418</definedName>
    <definedName name="IQRCompaniesN419" hidden="1">[3]Companies!$O$419:$S$419</definedName>
    <definedName name="IQRCompaniesN42" hidden="1">[3]Companies!$O$42:$S$42</definedName>
    <definedName name="IQRCompaniesN420" hidden="1">[3]Companies!$O$420:$S$420</definedName>
    <definedName name="IQRCompaniesN421" hidden="1">[3]Companies!$O$421</definedName>
    <definedName name="IQRCompaniesN422" hidden="1">[3]Companies!$O$422:$P$422</definedName>
    <definedName name="IQRCompaniesN423" hidden="1">[3]Companies!$O$423:$S$423</definedName>
    <definedName name="IQRCompaniesN424" hidden="1">[3]Companies!$O$424</definedName>
    <definedName name="IQRCompaniesN425" hidden="1">[3]Companies!$O$425:$S$425</definedName>
    <definedName name="IQRCompaniesN426" hidden="1">[3]Companies!$O$426:$S$426</definedName>
    <definedName name="IQRCompaniesN427" hidden="1">[3]Companies!$O$427</definedName>
    <definedName name="IQRCompaniesN428" hidden="1">[3]Companies!$O$428</definedName>
    <definedName name="IQRCompaniesN429" hidden="1">[3]Companies!$O$429:$P$429</definedName>
    <definedName name="IQRCompaniesN43" hidden="1">[3]Companies!$O$43:$S$43</definedName>
    <definedName name="IQRCompaniesN430" hidden="1">[3]Companies!$O$430:$P$430</definedName>
    <definedName name="IQRCompaniesN431" hidden="1">[3]Companies!$O$431:$P$431</definedName>
    <definedName name="IQRCompaniesN432" hidden="1">[3]Companies!$O$432</definedName>
    <definedName name="IQRCompaniesN433" hidden="1">[3]Companies!$O$433</definedName>
    <definedName name="IQRCompaniesN434" hidden="1">[3]Companies!$O$434:$P$434</definedName>
    <definedName name="IQRCompaniesN435" hidden="1">[3]Companies!$O$435:$P$435</definedName>
    <definedName name="IQRCompaniesN436" hidden="1">[3]Companies!$O$436:$R$436</definedName>
    <definedName name="IQRCompaniesN437" hidden="1">[3]Companies!$O$437:$S$437</definedName>
    <definedName name="IQRCompaniesN438" hidden="1">[3]Companies!$O$438:$S$438</definedName>
    <definedName name="IQRCompaniesN439" hidden="1">[3]Companies!$O$439</definedName>
    <definedName name="IQRCompaniesN44" hidden="1">[2]Companies!$O$44:$S$44</definedName>
    <definedName name="IQRCompaniesN440" hidden="1">[3]Companies!$O$440</definedName>
    <definedName name="IQRCompaniesN441" hidden="1">[3]Companies!$O$441:$P$441</definedName>
    <definedName name="IQRCompaniesN442" hidden="1">[3]Companies!$O$442</definedName>
    <definedName name="IQRCompaniesN443" hidden="1">[3]Companies!$O$443:$S$443</definedName>
    <definedName name="IQRCompaniesN444" hidden="1">[3]Companies!$O$444</definedName>
    <definedName name="IQRCompaniesN445" hidden="1">[3]Companies!$O$445</definedName>
    <definedName name="IQRCompaniesN446" hidden="1">[3]Companies!$O$446:$S$446</definedName>
    <definedName name="IQRCompaniesN447" hidden="1">[3]Companies!$O$447:$Q$447</definedName>
    <definedName name="IQRCompaniesN448" hidden="1">[3]Companies!$O$448:$P$448</definedName>
    <definedName name="IQRCompaniesN449" hidden="1">[3]Companies!$O$449:$S$449</definedName>
    <definedName name="IQRCompaniesN45" hidden="1">[2]Companies!$O$45:$S$45</definedName>
    <definedName name="IQRCompaniesN450" hidden="1">[3]Companies!$O$450:$S$450</definedName>
    <definedName name="IQRCompaniesN451" hidden="1">[3]Companies!$O$451:$S$451</definedName>
    <definedName name="IQRCompaniesN452" hidden="1">[3]Companies!$O$452:$S$452</definedName>
    <definedName name="IQRCompaniesN453" hidden="1">[3]Companies!$O$453</definedName>
    <definedName name="IQRCompaniesN454" hidden="1">[3]Companies!$O$454:$P$454</definedName>
    <definedName name="IQRCompaniesN455" hidden="1">[3]Companies!$O$455:$P$455</definedName>
    <definedName name="IQRCompaniesN456" hidden="1">[3]Companies!$O$456</definedName>
    <definedName name="IQRCompaniesN457" hidden="1">[3]Companies!$O$457:$S$457</definedName>
    <definedName name="IQRCompaniesN458" hidden="1">[3]Companies!$O$458:$P$458</definedName>
    <definedName name="IQRCompaniesN459" hidden="1">[3]Companies!$O$459:$P$459</definedName>
    <definedName name="IQRCompaniesN46" hidden="1">[2]Companies!$O$46:$S$46</definedName>
    <definedName name="IQRCompaniesN460" hidden="1">[3]Companies!$O$460</definedName>
    <definedName name="IQRCompaniesN461" hidden="1">[3]Companies!$O$461</definedName>
    <definedName name="IQRCompaniesN462" hidden="1">[3]Companies!$O$462</definedName>
    <definedName name="IQRCompaniesN463" hidden="1">[3]Companies!$O$463:$P$463</definedName>
    <definedName name="IQRCompaniesN464" hidden="1">[3]Companies!$O$464:$R$464</definedName>
    <definedName name="IQRCompaniesN465" hidden="1">[3]Companies!$O$465:$P$465</definedName>
    <definedName name="IQRCompaniesN466" hidden="1">[3]Companies!$O$466:$Q$466</definedName>
    <definedName name="IQRCompaniesN467" hidden="1">[3]Companies!$O$467</definedName>
    <definedName name="IQRCompaniesN468" hidden="1">[3]Companies!$O$468:$Q$468</definedName>
    <definedName name="IQRCompaniesN469" hidden="1">[3]Companies!$O$469</definedName>
    <definedName name="IQRCompaniesN47" hidden="1">[2]Companies!$O$47:$P$47</definedName>
    <definedName name="IQRCompaniesN470" hidden="1">[3]Companies!$O$470:$P$470</definedName>
    <definedName name="IQRCompaniesN471" hidden="1">[3]Companies!$O$471</definedName>
    <definedName name="IQRCompaniesN472" hidden="1">[3]Companies!$O$472</definedName>
    <definedName name="IQRCompaniesN473" hidden="1">[3]Companies!$O$473</definedName>
    <definedName name="IQRCompaniesN474" hidden="1">[3]Companies!$O$474:$S$474</definedName>
    <definedName name="IQRCompaniesN475" hidden="1">[3]Companies!$O$475:$P$475</definedName>
    <definedName name="IQRCompaniesN476" hidden="1">[3]Companies!$O$476:$S$476</definedName>
    <definedName name="IQRCompaniesN477" hidden="1">[3]Companies!$O$477:$Q$477</definedName>
    <definedName name="IQRCompaniesN478" hidden="1">[3]Companies!$O$478</definedName>
    <definedName name="IQRCompaniesN479" hidden="1">[3]Companies!$O$479:$Q$479</definedName>
    <definedName name="IQRCompaniesN48" hidden="1">[2]Companies!$O$48:$S$48</definedName>
    <definedName name="IQRCompaniesN480" hidden="1">[3]Companies!$O$480</definedName>
    <definedName name="IQRCompaniesN481" hidden="1">[3]Companies!$O$481</definedName>
    <definedName name="IQRCompaniesN482" hidden="1">[3]Companies!$O$482</definedName>
    <definedName name="IQRCompaniesN483" hidden="1">[3]Companies!$O$483</definedName>
    <definedName name="IQRCompaniesN484" hidden="1">[3]Companies!$O$484:$R$484</definedName>
    <definedName name="IQRCompaniesN485" hidden="1">[3]Companies!$O$485:$R$485</definedName>
    <definedName name="IQRCompaniesN486" hidden="1">[3]Companies!$O$486:$Q$486</definedName>
    <definedName name="IQRCompaniesN487" hidden="1">[3]Companies!$O$487</definedName>
    <definedName name="IQRCompaniesN488" hidden="1">[3]Companies!$O$488</definedName>
    <definedName name="IQRCompaniesN489" hidden="1">[3]Companies!$O$489:$P$489</definedName>
    <definedName name="IQRCompaniesN49" hidden="1">[2]Companies!$O$49:$S$49</definedName>
    <definedName name="IQRCompaniesN490" hidden="1">[3]Companies!$O$490:$P$490</definedName>
    <definedName name="IQRCompaniesN491" hidden="1">[3]Companies!$O$491</definedName>
    <definedName name="IQRCompaniesN492" hidden="1">[3]Companies!$O$492</definedName>
    <definedName name="IQRCompaniesN493" hidden="1">[3]Companies!$O$493:$P$493</definedName>
    <definedName name="IQRCompaniesN494" hidden="1">[3]Companies!$O$494</definedName>
    <definedName name="IQRCompaniesN495" hidden="1">[3]Companies!$O$495</definedName>
    <definedName name="IQRCompaniesN496" hidden="1">[3]Companies!$O$496</definedName>
    <definedName name="IQRCompaniesN497" hidden="1">[3]Companies!$O$497:$S$497</definedName>
    <definedName name="IQRCompaniesN498" hidden="1">[3]Companies!$O$498</definedName>
    <definedName name="IQRCompaniesN499" hidden="1">[3]Companies!$O$499:$S$499</definedName>
    <definedName name="IQRCompaniesN50" hidden="1">[3]Companies!$O$50</definedName>
    <definedName name="IQRCompaniesN500" hidden="1">[3]Companies!$O$500:$S$500</definedName>
    <definedName name="IQRCompaniesN501" hidden="1">[3]Companies!$O$501</definedName>
    <definedName name="IQRCompaniesN502" hidden="1">[3]Companies!$O$502</definedName>
    <definedName name="IQRCompaniesN503" hidden="1">[3]Companies!$O$503:$P$503</definedName>
    <definedName name="IQRCompaniesN504" hidden="1">[3]Companies!$O$504</definedName>
    <definedName name="IQRCompaniesN505" hidden="1">[3]Companies!$O$505</definedName>
    <definedName name="IQRCompaniesN506" hidden="1">[3]Companies!$O$506:$S$506</definedName>
    <definedName name="IQRCompaniesN507" hidden="1">[3]Companies!$O$507:$S$507</definedName>
    <definedName name="IQRCompaniesN508" hidden="1">[3]Companies!$O$508:$P$508</definedName>
    <definedName name="IQRCompaniesN509" hidden="1">[3]Companies!$O$509</definedName>
    <definedName name="IQRCompaniesN51" hidden="1">[2]Companies!$O$51:$S$51</definedName>
    <definedName name="IQRCompaniesN510" hidden="1">[3]Companies!$O$510:$P$510</definedName>
    <definedName name="IQRCompaniesN511" hidden="1">[3]Companies!$O$511:$S$511</definedName>
    <definedName name="IQRCompaniesN512" hidden="1">[3]Companies!$O$512</definedName>
    <definedName name="IQRCompaniesN513" hidden="1">[3]Companies!$O$513</definedName>
    <definedName name="IQRCompaniesN514" hidden="1">[3]Companies!$O$514</definedName>
    <definedName name="IQRCompaniesN515" hidden="1">[3]Companies!$O$515:$P$515</definedName>
    <definedName name="IQRCompaniesN516" hidden="1">[3]Companies!$O$516</definedName>
    <definedName name="IQRCompaniesN517" hidden="1">[3]Companies!$O$517:$Q$517</definedName>
    <definedName name="IQRCompaniesN518" hidden="1">[3]Companies!$O$518:$S$518</definedName>
    <definedName name="IQRCompaniesN519" hidden="1">[3]Companies!$O$519</definedName>
    <definedName name="IQRCompaniesN52" hidden="1">[2]Companies!$O$52:$R$52</definedName>
    <definedName name="IQRCompaniesN520" hidden="1">[3]Companies!$O$520</definedName>
    <definedName name="IQRCompaniesN521" hidden="1">[3]Companies!$O$521</definedName>
    <definedName name="IQRCompaniesN522" hidden="1">[3]Companies!$O$522</definedName>
    <definedName name="IQRCompaniesN523" hidden="1">[3]Companies!$O$523</definedName>
    <definedName name="IQRCompaniesN524" hidden="1">[3]Companies!$O$524:$P$524</definedName>
    <definedName name="IQRCompaniesN525" hidden="1">[3]Companies!$O$525:$S$525</definedName>
    <definedName name="IQRCompaniesN526" hidden="1">[3]Companies!$O$526</definedName>
    <definedName name="IQRCompaniesN527" hidden="1">[3]Companies!$O$527</definedName>
    <definedName name="IQRCompaniesN528" hidden="1">[3]Companies!$O$528</definedName>
    <definedName name="IQRCompaniesN529" hidden="1">[3]Companies!$O$529</definedName>
    <definedName name="IQRCompaniesN53" hidden="1">[2]Companies!$O$53:$S$53</definedName>
    <definedName name="IQRCompaniesN530" hidden="1">[3]Companies!$O$530</definedName>
    <definedName name="IQRCompaniesN531" hidden="1">[3]Companies!$O$531</definedName>
    <definedName name="IQRCompaniesN532" hidden="1">[3]Companies!$O$532:$P$532</definedName>
    <definedName name="IQRCompaniesN533" hidden="1">[3]Companies!$O$533</definedName>
    <definedName name="IQRCompaniesN534" hidden="1">[3]Companies!$O$534:$Q$534</definedName>
    <definedName name="IQRCompaniesN535" hidden="1">[3]Companies!$O$535</definedName>
    <definedName name="IQRCompaniesN536" hidden="1">[3]Companies!$O$536:$R$536</definedName>
    <definedName name="IQRCompaniesN537" hidden="1">[3]Companies!$O$537:$S$537</definedName>
    <definedName name="IQRCompaniesN538" hidden="1">[3]Companies!$O$538</definedName>
    <definedName name="IQRCompaniesN539" hidden="1">[3]Companies!$O$539:$S$539</definedName>
    <definedName name="IQRCompaniesN54" hidden="1">[3]Companies!$O$54:$P$54</definedName>
    <definedName name="IQRCompaniesN540" hidden="1">[3]Companies!$O$540:$S$540</definedName>
    <definedName name="IQRCompaniesN541" hidden="1">[3]Companies!$O$541:$P$541</definedName>
    <definedName name="IQRCompaniesN542" hidden="1">[3]Companies!$O$542:$P$542</definedName>
    <definedName name="IQRCompaniesN543" hidden="1">[3]Companies!$O$543:$Q$543</definedName>
    <definedName name="IQRCompaniesN544" hidden="1">[3]Companies!$O$544</definedName>
    <definedName name="IQRCompaniesN545" hidden="1">[3]Companies!$O$545:$Q$545</definedName>
    <definedName name="IQRCompaniesN546" hidden="1">[3]Companies!$O$546</definedName>
    <definedName name="IQRCompaniesN547" hidden="1">[3]Companies!$O$547:$P$547</definedName>
    <definedName name="IQRCompaniesN548" hidden="1">[3]Companies!$O$548:$S$548</definedName>
    <definedName name="IQRCompaniesN549" hidden="1">[3]Companies!$O$549</definedName>
    <definedName name="IQRCompaniesN55" hidden="1">[2]Companies!$O$55:$S$55</definedName>
    <definedName name="IQRCompaniesN550" hidden="1">[3]Companies!$O$550:$Q$550</definedName>
    <definedName name="IQRCompaniesN551" hidden="1">[3]Companies!$O$551</definedName>
    <definedName name="IQRCompaniesN552" hidden="1">[3]Companies!$O$552:$S$552</definedName>
    <definedName name="IQRCompaniesN553" hidden="1">[3]Companies!$O$553</definedName>
    <definedName name="IQRCompaniesN554" hidden="1">[3]Companies!$O$554</definedName>
    <definedName name="IQRCompaniesN555" hidden="1">[3]Companies!$O$555:$P$555</definedName>
    <definedName name="IQRCompaniesN556" hidden="1">[3]Companies!$O$556</definedName>
    <definedName name="IQRCompaniesN557" hidden="1">[3]Companies!$O$557:$P$557</definedName>
    <definedName name="IQRCompaniesN558" hidden="1">[3]Companies!$O$558</definedName>
    <definedName name="IQRCompaniesN559" hidden="1">[3]Companies!$O$559:$P$559</definedName>
    <definedName name="IQRCompaniesN56" hidden="1">[2]Companies!$O$56:$S$56</definedName>
    <definedName name="IQRCompaniesN560" hidden="1">[3]Companies!$O$560:$S$560</definedName>
    <definedName name="IQRCompaniesN561" hidden="1">[3]Companies!$O$561</definedName>
    <definedName name="IQRCompaniesN562" hidden="1">[3]Companies!$O$562:$S$562</definedName>
    <definedName name="IQRCompaniesN563" hidden="1">[3]Companies!$O$563:$R$563</definedName>
    <definedName name="IQRCompaniesN564" hidden="1">[3]Companies!$O$564:$Q$564</definedName>
    <definedName name="IQRCompaniesN565" hidden="1">[3]Companies!$O$565:$P$565</definedName>
    <definedName name="IQRCompaniesN566" hidden="1">[3]Companies!$O$566:$S$566</definedName>
    <definedName name="IQRCompaniesN567" hidden="1">[3]Companies!$O$567</definedName>
    <definedName name="IQRCompaniesN568" hidden="1">[3]Companies!$O$568</definedName>
    <definedName name="IQRCompaniesN569" hidden="1">[3]Companies!$O$569:$R$569</definedName>
    <definedName name="IQRCompaniesN57" hidden="1">[2]Companies!$O$57:$S$57</definedName>
    <definedName name="IQRCompaniesN570" hidden="1">[3]Companies!$O$570:$P$570</definedName>
    <definedName name="IQRCompaniesN571" hidden="1">[3]Companies!$O$571</definedName>
    <definedName name="IQRCompaniesN572" hidden="1">[3]Companies!$O$572:$S$572</definedName>
    <definedName name="IQRCompaniesN573" hidden="1">[3]Companies!$O$573:$R$573</definedName>
    <definedName name="IQRCompaniesN574" hidden="1">[3]Companies!$O$574:$S$574</definedName>
    <definedName name="IQRCompaniesN575" hidden="1">[3]Companies!$O$575</definedName>
    <definedName name="IQRCompaniesN576" hidden="1">[3]Companies!$O$576</definedName>
    <definedName name="IQRCompaniesN577" hidden="1">[3]Companies!$O$577</definedName>
    <definedName name="IQRCompaniesN578" hidden="1">[3]Companies!$O$578</definedName>
    <definedName name="IQRCompaniesN579" hidden="1">[3]Companies!$O$579:$P$579</definedName>
    <definedName name="IQRCompaniesN58" hidden="1">[2]Companies!$O$58</definedName>
    <definedName name="IQRCompaniesN580" hidden="1">[3]Companies!$O$580:$Q$580</definedName>
    <definedName name="IQRCompaniesN581" hidden="1">[3]Companies!$O$581</definedName>
    <definedName name="IQRCompaniesN582" hidden="1">[3]Companies!$O$582:$P$582</definedName>
    <definedName name="IQRCompaniesN583" hidden="1">[3]Companies!$O$583:$S$583</definedName>
    <definedName name="IQRCompaniesN584" hidden="1">[3]Companies!$O$584:$S$584</definedName>
    <definedName name="IQRCompaniesN585" hidden="1">[3]Companies!$O$585:$S$585</definedName>
    <definedName name="IQRCompaniesN586" hidden="1">[3]Companies!$O$586:$S$586</definedName>
    <definedName name="IQRCompaniesN587" hidden="1">[3]Companies!$O$587</definedName>
    <definedName name="IQRCompaniesN588" hidden="1">[3]Companies!$O$588</definedName>
    <definedName name="IQRCompaniesN589" hidden="1">[3]Companies!$O$589</definedName>
    <definedName name="IQRCompaniesN59" hidden="1">[2]Companies!$O$59:$Q$59</definedName>
    <definedName name="IQRCompaniesN590" hidden="1">[3]Companies!$O$590:$S$590</definedName>
    <definedName name="IQRCompaniesN591" hidden="1">[3]Companies!$O$591:$P$591</definedName>
    <definedName name="IQRCompaniesN592" hidden="1">[3]Companies!$O$592</definedName>
    <definedName name="IQRCompaniesN593" hidden="1">[3]Companies!$O$593</definedName>
    <definedName name="IQRCompaniesN594" hidden="1">[3]Companies!$O$594</definedName>
    <definedName name="IQRCompaniesN595" hidden="1">[3]Companies!$O$595:$R$595</definedName>
    <definedName name="IQRCompaniesN596" hidden="1">[3]Companies!$O$596</definedName>
    <definedName name="IQRCompaniesN597" hidden="1">[3]Companies!$O$597:$P$597</definedName>
    <definedName name="IQRCompaniesN598" hidden="1">[3]Companies!$O$598:$P$598</definedName>
    <definedName name="IQRCompaniesN599" hidden="1">[3]Companies!$O$599:$S$599</definedName>
    <definedName name="IQRCompaniesN60" hidden="1">[2]Companies!$O$60:$S$60</definedName>
    <definedName name="IQRCompaniesN600" hidden="1">[3]Companies!$O$600</definedName>
    <definedName name="IQRCompaniesN601" hidden="1">[3]Companies!$O$601</definedName>
    <definedName name="IQRCompaniesN602" hidden="1">[3]Companies!$O$602:$S$602</definedName>
    <definedName name="IQRCompaniesN603" hidden="1">[3]Companies!$O$603:$S$603</definedName>
    <definedName name="IQRCompaniesN604" hidden="1">[3]Companies!$O$604:$S$604</definedName>
    <definedName name="IQRCompaniesN605" hidden="1">[3]Companies!$O$605:$Q$605</definedName>
    <definedName name="IQRCompaniesN606" hidden="1">[3]Companies!$O$606:$Q$606</definedName>
    <definedName name="IQRCompaniesN607" hidden="1">[3]Companies!$O$607:$R$607</definedName>
    <definedName name="IQRCompaniesN608" hidden="1">[3]Companies!$O$608</definedName>
    <definedName name="IQRCompaniesN609" hidden="1">[3]Companies!$O$609:$S$609</definedName>
    <definedName name="IQRCompaniesN61" hidden="1">[2]Companies!$O$61:$S$61</definedName>
    <definedName name="IQRCompaniesN610" hidden="1">[3]Companies!$O$610:$S$610</definedName>
    <definedName name="IQRCompaniesN611" hidden="1">[3]Companies!$O$611:$S$611</definedName>
    <definedName name="IQRCompaniesN612" hidden="1">[3]Companies!$O$612</definedName>
    <definedName name="IQRCompaniesN613" hidden="1">[3]Companies!$O$613:$P$613</definedName>
    <definedName name="IQRCompaniesN614" hidden="1">[3]Companies!$O$614:$R$614</definedName>
    <definedName name="IQRCompaniesN615" hidden="1">[3]Companies!$O$615:$P$615</definedName>
    <definedName name="IQRCompaniesN616" hidden="1">[3]Companies!$O$616</definedName>
    <definedName name="IQRCompaniesN617" hidden="1">[3]Companies!$O$617</definedName>
    <definedName name="IQRCompaniesN618" hidden="1">[3]Companies!$O$618:$S$618</definedName>
    <definedName name="IQRCompaniesN619" hidden="1">[3]Companies!$O$619:$R$619</definedName>
    <definedName name="IQRCompaniesN62" hidden="1">[2]Companies!$O$62:$S$62</definedName>
    <definedName name="IQRCompaniesN620" hidden="1">[3]Companies!$O$620:$P$620</definedName>
    <definedName name="IQRCompaniesN621" hidden="1">[3]Companies!$O$621:$P$621</definedName>
    <definedName name="IQRCompaniesN622" hidden="1">[3]Companies!$O$622:$P$622</definedName>
    <definedName name="IQRCompaniesN623" hidden="1">[3]Companies!$O$623:$R$623</definedName>
    <definedName name="IQRCompaniesN624" hidden="1">[3]Companies!$O$624</definedName>
    <definedName name="IQRCompaniesN625" hidden="1">[3]Companies!$O$625</definedName>
    <definedName name="IQRCompaniesN626" hidden="1">[3]Companies!$O$626:$S$626</definedName>
    <definedName name="IQRCompaniesN627" hidden="1">[3]Companies!$O$627:$S$627</definedName>
    <definedName name="IQRCompaniesN628" hidden="1">[3]Companies!$O$628:$S$628</definedName>
    <definedName name="IQRCompaniesN629" hidden="1">[3]Companies!$O$629:$Q$629</definedName>
    <definedName name="IQRCompaniesN63" hidden="1">[2]Companies!$O$63</definedName>
    <definedName name="IQRCompaniesN630" hidden="1">[3]Companies!$O$630:$S$630</definedName>
    <definedName name="IQRCompaniesN631" hidden="1">[3]Companies!$O$631:$S$631</definedName>
    <definedName name="IQRCompaniesN632" hidden="1">[3]Companies!$O$632:$S$632</definedName>
    <definedName name="IQRCompaniesN633" hidden="1">[3]Companies!$O$633:$S$633</definedName>
    <definedName name="IQRCompaniesN634" hidden="1">[3]Companies!$O$634</definedName>
    <definedName name="IQRCompaniesN635" hidden="1">[3]Companies!$O$635:$S$635</definedName>
    <definedName name="IQRCompaniesN636" hidden="1">[3]Companies!$O$636</definedName>
    <definedName name="IQRCompaniesN637" hidden="1">[3]Companies!$O$637:$Q$637</definedName>
    <definedName name="IQRCompaniesN638" hidden="1">[3]Companies!$O$638:$Q$638</definedName>
    <definedName name="IQRCompaniesN639" hidden="1">[3]Companies!$O$639:$P$639</definedName>
    <definedName name="IQRCompaniesN64" hidden="1">[2]Companies!$O$64:$Q$64</definedName>
    <definedName name="IQRCompaniesN640" hidden="1">[3]Companies!$O$640:$S$640</definedName>
    <definedName name="IQRCompaniesN641" hidden="1">[3]Companies!$O$641</definedName>
    <definedName name="IQRCompaniesN642" hidden="1">[3]Companies!$O$642:$P$642</definedName>
    <definedName name="IQRCompaniesN643" hidden="1">[3]Companies!$O$643</definedName>
    <definedName name="IQRCompaniesN644" hidden="1">[3]Companies!$O$644:$S$644</definedName>
    <definedName name="IQRCompaniesN645" hidden="1">[3]Companies!$O$645:$P$645</definedName>
    <definedName name="IQRCompaniesN646" hidden="1">[3]Companies!$O$646:$S$646</definedName>
    <definedName name="IQRCompaniesN647" hidden="1">[3]Companies!$O$647:$S$647</definedName>
    <definedName name="IQRCompaniesN648" hidden="1">[3]Companies!$O$648:$P$648</definedName>
    <definedName name="IQRCompaniesN649" hidden="1">[3]Companies!$O$649:$S$649</definedName>
    <definedName name="IQRCompaniesN65" hidden="1">[2]Companies!$O$65:$S$65</definedName>
    <definedName name="IQRCompaniesN650" hidden="1">[3]Companies!$O$650</definedName>
    <definedName name="IQRCompaniesN651" hidden="1">[3]Companies!$O$651:$S$651</definedName>
    <definedName name="IQRCompaniesN652" hidden="1">[3]Companies!$O$652:$P$652</definedName>
    <definedName name="IQRCompaniesN653" hidden="1">[3]Companies!$O$653</definedName>
    <definedName name="IQRCompaniesN654" hidden="1">[3]Companies!$O$654:$Q$654</definedName>
    <definedName name="IQRCompaniesN655" hidden="1">[3]Companies!$O$655:$S$655</definedName>
    <definedName name="IQRCompaniesN656" hidden="1">[3]Companies!$O$656:$R$656</definedName>
    <definedName name="IQRCompaniesN657" hidden="1">[3]Companies!$O$657</definedName>
    <definedName name="IQRCompaniesN658" hidden="1">[3]Companies!$O$658:$P$658</definedName>
    <definedName name="IQRCompaniesN659" hidden="1">[3]Companies!$O$659</definedName>
    <definedName name="IQRCompaniesN66" hidden="1">[2]Companies!$O$66:$S$66</definedName>
    <definedName name="IQRCompaniesN660" hidden="1">[3]Companies!$O$660:$S$660</definedName>
    <definedName name="IQRCompaniesN661" hidden="1">[3]Companies!$O$661</definedName>
    <definedName name="IQRCompaniesN662" hidden="1">[3]Companies!$O$662</definedName>
    <definedName name="IQRCompaniesN663" hidden="1">[3]Companies!$O$663:$P$663</definedName>
    <definedName name="IQRCompaniesN664" hidden="1">[3]Companies!$O$664:$P$664</definedName>
    <definedName name="IQRCompaniesN665" hidden="1">[3]Companies!$O$665:$S$665</definedName>
    <definedName name="IQRCompaniesN666" hidden="1">[3]Companies!$O$666:$R$666</definedName>
    <definedName name="IQRCompaniesN667" hidden="1">[3]Companies!$O$667:$P$667</definedName>
    <definedName name="IQRCompaniesN668" hidden="1">[3]Companies!$O$668:$Q$668</definedName>
    <definedName name="IQRCompaniesN669" hidden="1">[3]Companies!$O$669</definedName>
    <definedName name="IQRCompaniesN67" hidden="1">[2]Companies!$O$67</definedName>
    <definedName name="IQRCompaniesN670" hidden="1">[3]Companies!$O$670</definedName>
    <definedName name="IQRCompaniesN671" hidden="1">[3]Companies!$O$671</definedName>
    <definedName name="IQRCompaniesN672" hidden="1">[3]Companies!$O$672</definedName>
    <definedName name="IQRCompaniesN673" hidden="1">[3]Companies!$O$673:$P$673</definedName>
    <definedName name="IQRCompaniesN674" hidden="1">[3]Companies!$O$674:$S$674</definedName>
    <definedName name="IQRCompaniesN675" hidden="1">[3]Companies!$O$675</definedName>
    <definedName name="IQRCompaniesN676" hidden="1">[3]Companies!$O$676:$P$676</definedName>
    <definedName name="IQRCompaniesN677" hidden="1">[3]Companies!$O$677</definedName>
    <definedName name="IQRCompaniesN678" hidden="1">[3]Companies!$O$678:$S$678</definedName>
    <definedName name="IQRCompaniesN679" hidden="1">[3]Companies!$O$679</definedName>
    <definedName name="IQRCompaniesN68" hidden="1">[2]Companies!$O$68:$Q$68</definedName>
    <definedName name="IQRCompaniesN680" hidden="1">[3]Companies!$O$680:$Q$680</definedName>
    <definedName name="IQRCompaniesN681" hidden="1">[3]Companies!$O$681</definedName>
    <definedName name="IQRCompaniesN682" hidden="1">[3]Companies!$O$682:$P$682</definedName>
    <definedName name="IQRCompaniesN683" hidden="1">[3]Companies!$O$683</definedName>
    <definedName name="IQRCompaniesN684" hidden="1">[3]Companies!$O$684:$S$684</definedName>
    <definedName name="IQRCompaniesN685" hidden="1">[3]Companies!$O$685</definedName>
    <definedName name="IQRCompaniesN686" hidden="1">[3]Companies!$O$686:$S$686</definedName>
    <definedName name="IQRCompaniesN687" hidden="1">[3]Companies!$O$687:$S$687</definedName>
    <definedName name="IQRCompaniesN688" hidden="1">[3]Companies!$O$688:$P$688</definedName>
    <definedName name="IQRCompaniesN689" hidden="1">[3]Companies!$O$689:$P$689</definedName>
    <definedName name="IQRCompaniesN69" hidden="1">[2]Companies!$O$69:$S$69</definedName>
    <definedName name="IQRCompaniesN690" hidden="1">[3]Companies!$O$690</definedName>
    <definedName name="IQRCompaniesN691" hidden="1">[3]Companies!$O$691:$R$691</definedName>
    <definedName name="IQRCompaniesN692" hidden="1">[3]Companies!$O$692:$P$692</definedName>
    <definedName name="IQRCompaniesN693" hidden="1">[3]Companies!$O$693</definedName>
    <definedName name="IQRCompaniesN694" hidden="1">[3]Companies!$O$694:$P$694</definedName>
    <definedName name="IQRCompaniesN695" hidden="1">[3]Companies!$O$695:$Q$695</definedName>
    <definedName name="IQRCompaniesN696" hidden="1">[3]Companies!$O$696</definedName>
    <definedName name="IQRCompaniesN697" hidden="1">[3]Companies!$O$697:$S$697</definedName>
    <definedName name="IQRCompaniesN698" hidden="1">[3]Companies!$O$698:$P$698</definedName>
    <definedName name="IQRCompaniesN699" hidden="1">[3]Companies!$O$699:$S$699</definedName>
    <definedName name="IQRCompaniesN70" hidden="1">[2]Companies!$O$70:$S$70</definedName>
    <definedName name="IQRCompaniesN700" hidden="1">[3]Companies!$O$700</definedName>
    <definedName name="IQRCompaniesN701" hidden="1">[3]Companies!$O$701:$Q$701</definedName>
    <definedName name="IQRCompaniesN702" hidden="1">[3]Companies!$O$702</definedName>
    <definedName name="IQRCompaniesN703" hidden="1">[3]Companies!$O$703:$R$703</definedName>
    <definedName name="IQRCompaniesN704" hidden="1">[3]Companies!$O$704:$P$704</definedName>
    <definedName name="IQRCompaniesN705" hidden="1">[3]Companies!$O$705</definedName>
    <definedName name="IQRCompaniesN706" hidden="1">[3]Companies!$O$706:$S$706</definedName>
    <definedName name="IQRCompaniesN707" hidden="1">[3]Companies!$O$707</definedName>
    <definedName name="IQRCompaniesN708" hidden="1">[3]Companies!$O$708:$S$708</definedName>
    <definedName name="IQRCompaniesN709" hidden="1">[3]Companies!$O$709:$S$709</definedName>
    <definedName name="IQRCompaniesN71" hidden="1">[2]Companies!$O$71:$S$71</definedName>
    <definedName name="IQRCompaniesN710" hidden="1">[3]Companies!$O$710:$Q$710</definedName>
    <definedName name="IQRCompaniesN711" hidden="1">[3]Companies!$O$711</definedName>
    <definedName name="IQRCompaniesN712" hidden="1">[3]Companies!$O$712:$P$712</definedName>
    <definedName name="IQRCompaniesN713" hidden="1">[3]Companies!$O$713:$R$713</definedName>
    <definedName name="IQRCompaniesN714" hidden="1">[3]Companies!$O$714:$S$714</definedName>
    <definedName name="IQRCompaniesN715" hidden="1">[3]Companies!$O$715:$S$715</definedName>
    <definedName name="IQRCompaniesN716" hidden="1">[3]Companies!$O$716:$S$716</definedName>
    <definedName name="IQRCompaniesN717" hidden="1">[3]Companies!$O$717</definedName>
    <definedName name="IQRCompaniesN718" hidden="1">[3]Companies!$O$718</definedName>
    <definedName name="IQRCompaniesN719" hidden="1">[3]Companies!$O$719:$S$719</definedName>
    <definedName name="IQRCompaniesN72" hidden="1">[2]Companies!$O$72:$S$72</definedName>
    <definedName name="IQRCompaniesN720" hidden="1">[3]Companies!$O$720:$P$720</definedName>
    <definedName name="IQRCompaniesN721" hidden="1">[3]Companies!$O$721:$P$721</definedName>
    <definedName name="IQRCompaniesN722" hidden="1">[3]Companies!$O$722</definedName>
    <definedName name="IQRCompaniesN723" hidden="1">[3]Companies!$O$723:$P$723</definedName>
    <definedName name="IQRCompaniesN724" hidden="1">[3]Companies!$O$724</definedName>
    <definedName name="IQRCompaniesN725" hidden="1">[3]Companies!$O$725:$S$725</definedName>
    <definedName name="IQRCompaniesN726" hidden="1">[3]Companies!$O$726:$S$726</definedName>
    <definedName name="IQRCompaniesN728" hidden="1">[3]Companies!$O$728:$S$728</definedName>
    <definedName name="IQRCompaniesN729" hidden="1">[3]Companies!$O$729:$Q$729</definedName>
    <definedName name="IQRCompaniesN73" hidden="1">[2]Companies!$O$73:$S$73</definedName>
    <definedName name="IQRCompaniesN730" hidden="1">[3]Companies!$O$730:$S$730</definedName>
    <definedName name="IQRCompaniesN731" hidden="1">[3]Companies!$O$731:$S$731</definedName>
    <definedName name="IQRCompaniesN732" hidden="1">[3]Companies!$O$732:$S$732</definedName>
    <definedName name="IQRCompaniesN733" hidden="1">[3]Companies!$O$733:$S$733</definedName>
    <definedName name="IQRCompaniesN734" hidden="1">[3]Companies!$O$734:$S$734</definedName>
    <definedName name="IQRCompaniesN735" hidden="1">[3]Companies!$O$735</definedName>
    <definedName name="IQRCompaniesN736" hidden="1">[3]Companies!$O$736</definedName>
    <definedName name="IQRCompaniesN737" hidden="1">[3]Companies!$O$737:$Q$737</definedName>
    <definedName name="IQRCompaniesN738" hidden="1">[3]Companies!$O$738:$Q$738</definedName>
    <definedName name="IQRCompaniesN739" hidden="1">[3]Companies!$O$739:$P$739</definedName>
    <definedName name="IQRCompaniesN74" hidden="1">[2]Companies!$O$74</definedName>
    <definedName name="IQRCompaniesN740" hidden="1">[3]Companies!$O$740:$S$740</definedName>
    <definedName name="IQRCompaniesN741" hidden="1">[3]Companies!$O$741</definedName>
    <definedName name="IQRCompaniesN743" hidden="1">[3]Companies!$O$743</definedName>
    <definedName name="IQRCompaniesN746" hidden="1">[3]Companies!$O$746:$S$746</definedName>
    <definedName name="IQRCompaniesN747" hidden="1">[3]Companies!$O$747:$P$747</definedName>
    <definedName name="IQRCompaniesN748" hidden="1">[3]Companies!$O$748:$S$748</definedName>
    <definedName name="IQRCompaniesN749" hidden="1">[3]Companies!$O$749:$S$749</definedName>
    <definedName name="IQRCompaniesN75" hidden="1">[2]Companies!$O$75:$S$75</definedName>
    <definedName name="IQRCompaniesN750" hidden="1">[3]Companies!$O$750:$P$750</definedName>
    <definedName name="IQRCompaniesN751" hidden="1">[3]Companies!$O$751:$S$751</definedName>
    <definedName name="IQRCompaniesN754" hidden="1">[3]Companies!$O$754</definedName>
    <definedName name="IQRCompaniesN755" hidden="1">[3]Companies!$O$755:$P$755</definedName>
    <definedName name="IQRCompaniesN756" hidden="1">[3]Companies!$O$756:$S$756</definedName>
    <definedName name="IQRCompaniesN757" hidden="1">[3]Companies!$O$757:$P$757</definedName>
    <definedName name="IQRCompaniesN758" hidden="1">[3]Companies!$O$758</definedName>
    <definedName name="IQRCompaniesN759" hidden="1">[3]Companies!$O$759:$S$759</definedName>
    <definedName name="IQRCompaniesN76" hidden="1">[2]Companies!$O$76:$S$76</definedName>
    <definedName name="IQRCompaniesN760" hidden="1">[3]Companies!$O$760:$R$760</definedName>
    <definedName name="IQRCompaniesN762" hidden="1">[3]Companies!$O$762</definedName>
    <definedName name="IQRCompaniesN763" hidden="1">[3]Companies!$O$763</definedName>
    <definedName name="IQRCompaniesN764" hidden="1">[3]Companies!$O$764:$P$764</definedName>
    <definedName name="IQRCompaniesN766" hidden="1">[3]Companies!$O$766</definedName>
    <definedName name="IQRCompaniesN767" hidden="1">[3]Companies!$O$767</definedName>
    <definedName name="IQRCompaniesN768" hidden="1">[3]Companies!$O$768</definedName>
    <definedName name="IQRCompaniesN769" hidden="1">[3]Companies!$O$769:$P$769</definedName>
    <definedName name="IQRCompaniesN77" hidden="1">[2]Companies!$O$77:$S$77</definedName>
    <definedName name="IQRCompaniesN770" hidden="1">[3]Companies!$O$770:$P$770</definedName>
    <definedName name="IQRCompaniesN773" hidden="1">[3]Companies!$O$773:$S$773</definedName>
    <definedName name="IQRCompaniesN774" hidden="1">[3]Companies!$O$774:$R$774</definedName>
    <definedName name="IQRCompaniesN775" hidden="1">[3]Companies!$O$775:$P$775</definedName>
    <definedName name="IQRCompaniesN776" hidden="1">[3]Companies!$O$776:$Q$776</definedName>
    <definedName name="IQRCompaniesN777" hidden="1">[3]Companies!$O$777</definedName>
    <definedName name="IQRCompaniesN778" hidden="1">[3]Companies!$O$778</definedName>
    <definedName name="IQRCompaniesN78" hidden="1">[2]Companies!$O$78:$Q$78</definedName>
    <definedName name="IQRCompaniesN780" hidden="1">[3]Companies!$O$780</definedName>
    <definedName name="IQRCompaniesN782" hidden="1">[3]Companies!$O$782</definedName>
    <definedName name="IQRCompaniesN783" hidden="1">[3]Companies!$O$783:$P$783</definedName>
    <definedName name="IQRCompaniesN784" hidden="1">[3]Companies!$O$784:$S$784</definedName>
    <definedName name="IQRCompaniesN785" hidden="1">[3]Companies!$O$785</definedName>
    <definedName name="IQRCompaniesN787" hidden="1">[3]Companies!$O$787:$S$787</definedName>
    <definedName name="IQRCompaniesN788" hidden="1">[3]Companies!$O$788:$P$788</definedName>
    <definedName name="IQRCompaniesN789" hidden="1">[3]Companies!$O$789</definedName>
    <definedName name="IQRCompaniesN79" hidden="1">[2]Companies!$O$79:$Q$79</definedName>
    <definedName name="IQRCompaniesN790" hidden="1">[3]Companies!$O$790:$S$790</definedName>
    <definedName name="IQRCompaniesN791" hidden="1">[3]Companies!$O$791</definedName>
    <definedName name="IQRCompaniesN792" hidden="1">[3]Companies!$O$792:$Q$792</definedName>
    <definedName name="IQRCompaniesN793" hidden="1">[3]Companies!$O$793</definedName>
    <definedName name="IQRCompaniesN794" hidden="1">[3]Companies!$O$794:$P$794</definedName>
    <definedName name="IQRCompaniesN795" hidden="1">[3]Companies!$O$795</definedName>
    <definedName name="IQRCompaniesN796" hidden="1">[3]Companies!$O$796:$S$796</definedName>
    <definedName name="IQRCompaniesN797" hidden="1">[3]Companies!$O$797</definedName>
    <definedName name="IQRCompaniesN80" hidden="1">[2]Companies!$O$80:$S$80</definedName>
    <definedName name="IQRCompaniesN800" hidden="1">[3]Companies!$O$800:$S$800</definedName>
    <definedName name="IQRCompaniesN801" hidden="1">[3]Companies!$O$801:$S$801</definedName>
    <definedName name="IQRCompaniesN802" hidden="1">[3]Companies!$O$802:$P$802</definedName>
    <definedName name="IQRCompaniesN803" hidden="1">[3]Companies!$O$803:$P$803</definedName>
    <definedName name="IQRCompaniesN804" hidden="1">[3]Companies!$O$804</definedName>
    <definedName name="IQRCompaniesN805" hidden="1">[3]Companies!$O$805:$R$805</definedName>
    <definedName name="IQRCompaniesN807" hidden="1">[3]Companies!$O$807</definedName>
    <definedName name="IQRCompaniesN808" hidden="1">[3]Companies!$O$808:$P$808</definedName>
    <definedName name="IQRCompaniesN81" hidden="1">[2]Companies!$O$81:$S$81</definedName>
    <definedName name="IQRCompaniesN810" hidden="1">[3]Companies!$O$810</definedName>
    <definedName name="IQRCompaniesN811" hidden="1">[3]Companies!$O$811:$S$811</definedName>
    <definedName name="IQRCompaniesN812" hidden="1">[3]Companies!$O$812:$P$812</definedName>
    <definedName name="IQRCompaniesN814" hidden="1">[3]Companies!$O$814:$S$814</definedName>
    <definedName name="IQRCompaniesN815" hidden="1">[3]Companies!$O$815</definedName>
    <definedName name="IQRCompaniesN816" hidden="1">[3]Companies!$O$816:$Q$816</definedName>
    <definedName name="IQRCompaniesN817" hidden="1">[3]Companies!$O$817</definedName>
    <definedName name="IQRCompaniesN818" hidden="1">[3]Companies!$O$818:$R$818</definedName>
    <definedName name="IQRCompaniesN819" hidden="1">[3]Companies!$O$819:$P$819</definedName>
    <definedName name="IQRCompaniesN82" hidden="1">[2]Companies!$O$82:$S$82</definedName>
    <definedName name="IQRCompaniesN820" hidden="1">[3]Companies!$O$820</definedName>
    <definedName name="IQRCompaniesN822" hidden="1">[3]Companies!$O$822:$S$822</definedName>
    <definedName name="IQRCompaniesN823" hidden="1">[3]Companies!$O$823</definedName>
    <definedName name="IQRCompaniesN824" hidden="1">[3]Companies!$O$824:$S$824</definedName>
    <definedName name="IQRCompaniesN825" hidden="1">[3]Companies!$O$825:$S$825</definedName>
    <definedName name="IQRCompaniesN826" hidden="1">[3]Companies!$O$826:$Q$826</definedName>
    <definedName name="IQRCompaniesN827" hidden="1">[3]Companies!$O$827</definedName>
    <definedName name="IQRCompaniesN828" hidden="1">[3]Companies!$O$828:$P$828</definedName>
    <definedName name="IQRCompaniesN829" hidden="1">[3]Companies!$O$829:$R$829</definedName>
    <definedName name="IQRCompaniesN83" hidden="1">[2]Companies!$O$83:$S$83</definedName>
    <definedName name="IQRCompaniesN830" hidden="1">[3]Companies!$O$830:$S$830</definedName>
    <definedName name="IQRCompaniesN832" hidden="1">[3]Companies!$O$832:$S$832</definedName>
    <definedName name="IQRCompaniesN833" hidden="1">[3]Companies!$O$833:$S$833</definedName>
    <definedName name="IQRCompaniesN834" hidden="1">[3]Companies!$O$834</definedName>
    <definedName name="IQRCompaniesN835" hidden="1">[3]Companies!$O$835:$S$835</definedName>
    <definedName name="IQRCompaniesN836" hidden="1">[3]Companies!$O$836</definedName>
    <definedName name="IQRCompaniesN837" hidden="1">[3]Companies!$O$837:$P$837</definedName>
    <definedName name="IQRCompaniesN838" hidden="1">[3]Companies!$O$838:$P$838</definedName>
    <definedName name="IQRCompaniesN84" hidden="1">[2]Companies!$O$84:$P$84</definedName>
    <definedName name="IQRCompaniesN840" hidden="1">[3]Companies!$O$840:$S$840</definedName>
    <definedName name="IQRCompaniesN842" hidden="1">[3]Companies!$O$842:$S$842</definedName>
    <definedName name="IQRCompaniesN843" hidden="1">[3]Companies!$O$843:$P$843</definedName>
    <definedName name="IQRCompaniesN844" hidden="1">[3]Companies!$O$844</definedName>
    <definedName name="IQRCompaniesN845" hidden="1">[3]Companies!$O$845</definedName>
    <definedName name="IQRCompaniesN846" hidden="1">[3]Companies!$O$846:$P$846</definedName>
    <definedName name="IQRCompaniesN847" hidden="1">[3]Companies!$O$847</definedName>
    <definedName name="IQRCompaniesN848" hidden="1">[3]Companies!$O$848:$S$848</definedName>
    <definedName name="IQRCompaniesN849" hidden="1">[3]Companies!$O$849</definedName>
    <definedName name="IQRCompaniesN85" hidden="1">[2]Companies!$O$85:$S$85</definedName>
    <definedName name="IQRCompaniesN851" hidden="1">[3]Companies!$O$851:$S$851</definedName>
    <definedName name="IQRCompaniesN852" hidden="1">[3]Companies!$O$852:$S$852</definedName>
    <definedName name="IQRCompaniesN855" hidden="1">[3]Companies!$O$855:$Q$855</definedName>
    <definedName name="IQRCompaniesN856" hidden="1">[3]Companies!$O$856:$P$856</definedName>
    <definedName name="IQRCompaniesN857" hidden="1">[3]Companies!$O$857:$S$857</definedName>
    <definedName name="IQRCompaniesN858" hidden="1">[3]Companies!$O$858</definedName>
    <definedName name="IQRCompaniesN859" hidden="1">[3]Companies!$O$859:$P$859</definedName>
    <definedName name="IQRCompaniesN86" hidden="1">[2]Companies!$O$86:$S$86</definedName>
    <definedName name="IQRCompaniesN860" hidden="1">[3]Companies!$O$860</definedName>
    <definedName name="IQRCompaniesN861" hidden="1">[3]Companies!$O$861</definedName>
    <definedName name="IQRCompaniesN862" hidden="1">[3]Companies!$O$862</definedName>
    <definedName name="IQRCompaniesN863" hidden="1">[3]Companies!$O$863:$S$863</definedName>
    <definedName name="IQRCompaniesN864" hidden="1">[3]Companies!$O$864</definedName>
    <definedName name="IQRCompaniesN865" hidden="1">[3]Companies!$O$865</definedName>
    <definedName name="IQRCompaniesN866" hidden="1">[3]Companies!$O$866:$S$866</definedName>
    <definedName name="IQRCompaniesN867" hidden="1">[3]Companies!$O$867:$P$867</definedName>
    <definedName name="IQRCompaniesN868" hidden="1">[3]Companies!$O$868:$P$868</definedName>
    <definedName name="IQRCompaniesN869" hidden="1">[3]Companies!$O$869:$S$869</definedName>
    <definedName name="IQRCompaniesN87" hidden="1">[2]Companies!$O$87:$S$87</definedName>
    <definedName name="IQRCompaniesN871" hidden="1">[3]Companies!$O$871:$Q$871</definedName>
    <definedName name="IQRCompaniesN873" hidden="1">[3]Companies!$O$873</definedName>
    <definedName name="IQRCompaniesN874" hidden="1">[3]Companies!$O$874</definedName>
    <definedName name="IQRCompaniesN875" hidden="1">[3]Companies!$O$875</definedName>
    <definedName name="IQRCompaniesN876" hidden="1">[3]Companies!$O$876:$S$876</definedName>
    <definedName name="IQRCompaniesN877" hidden="1">[3]Companies!$O$877</definedName>
    <definedName name="IQRCompaniesN878" hidden="1">[3]Companies!$O$878</definedName>
    <definedName name="IQRCompaniesN879" hidden="1">[3]Companies!$O$879:$P$879</definedName>
    <definedName name="IQRCompaniesN88" hidden="1">[2]Companies!$O$88:$P$88</definedName>
    <definedName name="IQRCompaniesN880" hidden="1">[3]Companies!$O$880:$S$880</definedName>
    <definedName name="IQRCompaniesN882" hidden="1">[3]Companies!$O$882:$S$882</definedName>
    <definedName name="IQRCompaniesN883" hidden="1">[3]Companies!$O$883</definedName>
    <definedName name="IQRCompaniesN884" hidden="1">[3]Companies!$O$884:$P$884</definedName>
    <definedName name="IQRCompaniesN885" hidden="1">[3]Companies!$O$885:$Q$885</definedName>
    <definedName name="IQRCompaniesN886" hidden="1">[3]Companies!$O$886</definedName>
    <definedName name="IQRCompaniesN887" hidden="1">[3]Companies!$O$887</definedName>
    <definedName name="IQRCompaniesN888" hidden="1">[3]Companies!$O$888:$S$888</definedName>
    <definedName name="IQRCompaniesN89" hidden="1">[2]Companies!$O$89</definedName>
    <definedName name="IQRCompaniesN890" hidden="1">[3]Companies!$O$890:$S$890</definedName>
    <definedName name="IQRCompaniesN892" hidden="1">[3]Companies!$O$892:$P$892</definedName>
    <definedName name="IQRCompaniesN893" hidden="1">[3]Companies!$O$893</definedName>
    <definedName name="IQRCompaniesN894" hidden="1">[3]Companies!$O$894:$R$894</definedName>
    <definedName name="IQRCompaniesN895" hidden="1">[3]Companies!$O$895</definedName>
    <definedName name="IQRCompaniesN898" hidden="1">[3]Companies!$O$898:$Q$898</definedName>
    <definedName name="IQRCompaniesN899" hidden="1">[3]Companies!$O$899</definedName>
    <definedName name="IQRCompaniesN90" hidden="1">[2]Companies!$O$90:$S$90</definedName>
    <definedName name="IQRCompaniesN900" hidden="1">[3]Companies!$O$900:$S$900</definedName>
    <definedName name="IQRCompaniesN901" hidden="1">[3]Companies!$O$901:$P$901</definedName>
    <definedName name="IQRCompaniesN902" hidden="1">[3]Companies!$O$902:$S$902</definedName>
    <definedName name="IQRCompaniesN906" hidden="1">[3]Companies!$O$906:$Q$906</definedName>
    <definedName name="IQRCompaniesN907" hidden="1">[3]Companies!$O$907</definedName>
    <definedName name="IQRCompaniesN908" hidden="1">[3]Companies!$O$908:$Q$908</definedName>
    <definedName name="IQRCompaniesN909" hidden="1">[3]Companies!$O$909:$S$909</definedName>
    <definedName name="IQRCompaniesN91" hidden="1">[2]Companies!$O$91:$S$91</definedName>
    <definedName name="IQRCompaniesN910" hidden="1">[3]Companies!$O$910:$S$910</definedName>
    <definedName name="IQRCompaniesN911" hidden="1">[3]Companies!$O$911:$P$911</definedName>
    <definedName name="IQRCompaniesN912" hidden="1">[3]Companies!$O$912</definedName>
    <definedName name="IQRCompaniesN913" hidden="1">[3]Companies!$O$913</definedName>
    <definedName name="IQRCompaniesN914" hidden="1">[3]Companies!$O$914:$P$914</definedName>
    <definedName name="IQRCompaniesN915" hidden="1">[3]Companies!$O$915</definedName>
    <definedName name="IQRCompaniesN916" hidden="1">[3]Companies!$O$916:$S$916</definedName>
    <definedName name="IQRCompaniesN917" hidden="1">[3]Companies!$O$917</definedName>
    <definedName name="IQRCompaniesN918" hidden="1">[3]Companies!$O$918:$Q$918</definedName>
    <definedName name="IQRCompaniesN919" hidden="1">[3]Companies!$O$919:$S$919</definedName>
    <definedName name="IQRCompaniesN92" hidden="1">[2]Companies!$O$92:$S$92</definedName>
    <definedName name="IQRCompaniesN920" hidden="1">[3]Companies!$O$920</definedName>
    <definedName name="IQRCompaniesN921" hidden="1">[3]Companies!$O$921</definedName>
    <definedName name="IQRCompaniesN922" hidden="1">[3]Companies!$O$922:$Q$922</definedName>
    <definedName name="IQRCompaniesN923" hidden="1">[3]Companies!$O$923:$P$923</definedName>
    <definedName name="IQRCompaniesN924" hidden="1">[3]Companies!$O$924:$S$924</definedName>
    <definedName name="IQRCompaniesN925" hidden="1">[3]Companies!$O$925</definedName>
    <definedName name="IQRCompaniesN926" hidden="1">[3]Companies!$O$926:$P$926</definedName>
    <definedName name="IQRCompaniesN927" hidden="1">[3]Companies!$O$927</definedName>
    <definedName name="IQRCompaniesN928" hidden="1">[3]Companies!$O$928</definedName>
    <definedName name="IQRCompaniesN929" hidden="1">[3]Companies!$O$929</definedName>
    <definedName name="IQRCompaniesN93" hidden="1">[2]Companies!$O$93</definedName>
    <definedName name="IQRCompaniesN930" hidden="1">[3]Companies!$O$930:$S$930</definedName>
    <definedName name="IQRCompaniesN931" hidden="1">[3]Companies!$O$931</definedName>
    <definedName name="IQRCompaniesN932" hidden="1">[3]Companies!$O$932</definedName>
    <definedName name="IQRCompaniesN933" hidden="1">[3]Companies!$O$933:$S$933</definedName>
    <definedName name="IQRCompaniesN934" hidden="1">[3]Companies!$O$934:$P$934</definedName>
    <definedName name="IQRCompaniesN935" hidden="1">[3]Companies!$O$935:$Q$935</definedName>
    <definedName name="IQRCompaniesN936" hidden="1">[3]Companies!$O$936</definedName>
    <definedName name="IQRCompaniesN937" hidden="1">[3]Companies!$O$937</definedName>
    <definedName name="IQRCompaniesN938" hidden="1">[3]Companies!$O$938:$P$938</definedName>
    <definedName name="IQRCompaniesN939" hidden="1">[3]Companies!$O$939</definedName>
    <definedName name="IQRCompaniesN94" hidden="1">[2]Companies!$O$94:$S$94</definedName>
    <definedName name="IQRCompaniesN940" hidden="1">[3]Companies!$O$940:$S$940</definedName>
    <definedName name="IQRCompaniesN941" hidden="1">[3]Companies!$O$941:$S$941</definedName>
    <definedName name="IQRCompaniesN942" hidden="1">[3]Companies!$O$942</definedName>
    <definedName name="IQRCompaniesN943" hidden="1">[3]Companies!$O$943</definedName>
    <definedName name="IQRCompaniesN944" hidden="1">[3]Companies!$O$944:$P$944</definedName>
    <definedName name="IQRCompaniesN945" hidden="1">[3]Companies!$O$945:$S$945</definedName>
    <definedName name="IQRCompaniesN946" hidden="1">[3]Companies!$O$946</definedName>
    <definedName name="IQRCompaniesN947" hidden="1">[3]Companies!$O$947:$P$947</definedName>
    <definedName name="IQRCompaniesN948" hidden="1">[3]Companies!$O$948:$Q$948</definedName>
    <definedName name="IQRCompaniesN949" hidden="1">[3]Companies!$O$949</definedName>
    <definedName name="IQRCompaniesN95" hidden="1">[2]Companies!$O$95:$R$95</definedName>
    <definedName name="IQRCompaniesN950" hidden="1">[3]Companies!$O$950</definedName>
    <definedName name="IQRCompaniesN951" hidden="1">[3]Companies!$O$951:$S$951</definedName>
    <definedName name="IQRCompaniesN952" hidden="1">[3]Companies!$O$952:$S$952</definedName>
    <definedName name="IQRCompaniesN953" hidden="1">[3]Companies!$O$953</definedName>
    <definedName name="IQRCompaniesN954" hidden="1">[3]Companies!$O$954:$P$954</definedName>
    <definedName name="IQRCompaniesN955" hidden="1">[3]Companies!$O$955</definedName>
    <definedName name="IQRCompaniesN956" hidden="1">[3]Companies!$O$956:$R$956</definedName>
    <definedName name="IQRCompaniesN957" hidden="1">[3]Companies!$O$957</definedName>
    <definedName name="IQRCompaniesN958" hidden="1">[3]Companies!$O$958:$Q$958</definedName>
    <definedName name="IQRCompaniesN959" hidden="1">[3]Companies!$O$959</definedName>
    <definedName name="IQRCompaniesN96" hidden="1">[2]Companies!$O$96:$P$96</definedName>
    <definedName name="IQRCompaniesN960" hidden="1">[3]Companies!$O$960:$P$960</definedName>
    <definedName name="IQRCompaniesN961" hidden="1">[3]Companies!$O$961:$S$961</definedName>
    <definedName name="IQRCompaniesN962" hidden="1">[3]Companies!$O$962:$Q$962</definedName>
    <definedName name="IQRCompaniesN963" hidden="1">[3]Companies!$O$963</definedName>
    <definedName name="IQRCompaniesN964" hidden="1">[3]Companies!$O$964:$Q$964</definedName>
    <definedName name="IQRCompaniesN965" hidden="1">[3]Companies!$O$965</definedName>
    <definedName name="IQRCompaniesN966" hidden="1">[3]Companies!$O$966</definedName>
    <definedName name="IQRCompaniesN967" hidden="1">[3]Companies!$O$967</definedName>
    <definedName name="IQRCompaniesN968" hidden="1">[3]Companies!$O$968:$R$968</definedName>
    <definedName name="IQRCompaniesN969" hidden="1">[3]Companies!$O$969:$S$969</definedName>
    <definedName name="IQRCompaniesN97" hidden="1">[2]Companies!$O$97:$S$97</definedName>
    <definedName name="IQRCompaniesN970" hidden="1">[3]Companies!$O$970:$S$970</definedName>
    <definedName name="IQRCompaniesN971" hidden="1">[3]Companies!$O$971:$P$971</definedName>
    <definedName name="IQRCompaniesN972" hidden="1">[3]Companies!$O$972:$R$972</definedName>
    <definedName name="IQRCompaniesN973" hidden="1">[3]Companies!$O$973:$P$973</definedName>
    <definedName name="IQRCompaniesN974" hidden="1">[3]Companies!$O$974</definedName>
    <definedName name="IQRCompaniesN975" hidden="1">[3]Companies!$O$975</definedName>
    <definedName name="IQRCompaniesN976" hidden="1">[3]Companies!$O$976:$P$976</definedName>
    <definedName name="IQRCompaniesN977" hidden="1">[3]Companies!$O$977:$R$977</definedName>
    <definedName name="IQRCompaniesN978" hidden="1">[3]Companies!$O$978:$P$978</definedName>
    <definedName name="IQRCompaniesN979" hidden="1">[3]Companies!$O$979:$P$979</definedName>
    <definedName name="IQRCompaniesN98" hidden="1">[2]Companies!$O$98:$S$98</definedName>
    <definedName name="IQRCompaniesN980" hidden="1">[3]Companies!$O$980:$R$980</definedName>
    <definedName name="IQRCompaniesN981" hidden="1">[3]Companies!$O$981:$S$981</definedName>
    <definedName name="IQRCompaniesN982" hidden="1">[3]Companies!$O$982</definedName>
    <definedName name="IQRCompaniesN983" hidden="1">[3]Companies!$O$983:$S$983</definedName>
    <definedName name="IQRCompaniesN984" hidden="1">[3]Companies!$O$984:$P$984</definedName>
    <definedName name="IQRCompaniesN985" hidden="1">[3]Companies!$O$985:$S$985</definedName>
    <definedName name="IQRCompaniesN986" hidden="1">[3]Companies!$O$986:$S$986</definedName>
    <definedName name="IQRCompaniesN987" hidden="1">[3]Companies!$O$987</definedName>
    <definedName name="IQRCompaniesN988" hidden="1">[3]Companies!$O$988</definedName>
    <definedName name="IQRCompaniesN989" hidden="1">[3]Companies!$O$989:$P$989</definedName>
    <definedName name="IQRCompaniesN99" hidden="1">[2]Companies!$O$99</definedName>
    <definedName name="IQRCompaniesN990" hidden="1">[3]Companies!$O$990:$P$990</definedName>
    <definedName name="IQRCompaniesN991" hidden="1">[3]Companies!$O$991:$S$991</definedName>
    <definedName name="IQRCompaniesN992" hidden="1">[3]Companies!$O$992</definedName>
    <definedName name="IQRCompaniesN993" hidden="1">[3]Companies!$O$993:$P$993</definedName>
    <definedName name="IQRCompaniesN994" hidden="1">[3]Companies!$O$994</definedName>
    <definedName name="IQRCompaniesN995" hidden="1">[3]Companies!$O$995:$P$995</definedName>
    <definedName name="IQRCompaniesN996" hidden="1">[3]Companies!$O$996:$S$996</definedName>
    <definedName name="IQRCompaniesN997" hidden="1">[3]Companies!$O$997:$S$997</definedName>
    <definedName name="IQRCompaniesN998" hidden="1">[3]Companies!$O$998</definedName>
    <definedName name="IQRCompaniesN999" hidden="1">[3]Companies!$O$999:$R$999</definedName>
    <definedName name="IQRComparablesH6" hidden="1">#REF!</definedName>
    <definedName name="IQRCompsH4" hidden="1">#REF!</definedName>
    <definedName name="IQRCompsH5" hidden="1">#REF!</definedName>
    <definedName name="IQRCompsH6" hidden="1">#REF!</definedName>
    <definedName name="IQRConsensusAA17" hidden="1">#REF!</definedName>
    <definedName name="IQRConsensusAA18" hidden="1">#REF!</definedName>
    <definedName name="IQRConsensusAA19" hidden="1">#REF!</definedName>
    <definedName name="IQRConsensusAA21" hidden="1">[6]Consensus!$AA$22:$AA$109</definedName>
    <definedName name="IQRConsensusAB17" hidden="1">#REF!</definedName>
    <definedName name="IQRConsensusAB18" hidden="1">#REF!</definedName>
    <definedName name="IQRConsensusAB19" hidden="1">#REF!</definedName>
    <definedName name="IQRConsensusAB21" hidden="1">[6]Consensus!$AB$22:$AB$109</definedName>
    <definedName name="IQRConsensusAC17" hidden="1">#REF!</definedName>
    <definedName name="IQRConsensusAC18" hidden="1">#REF!</definedName>
    <definedName name="IQRConsensusAC19" hidden="1">#REF!</definedName>
    <definedName name="IQRConsensusAC21" hidden="1">[6]Consensus!$AC$22:$AC$109</definedName>
    <definedName name="IQRConsensusAD17" hidden="1">#REF!</definedName>
    <definedName name="IQRConsensusAD18" hidden="1">#REF!</definedName>
    <definedName name="IQRConsensusAD19" hidden="1">#REF!</definedName>
    <definedName name="IQRConsensusAD21" hidden="1">[6]Consensus!$AD$22:$AD$109</definedName>
    <definedName name="IQRConsensusAE17" hidden="1">#REF!</definedName>
    <definedName name="IQRConsensusAE18" hidden="1">#REF!</definedName>
    <definedName name="IQRConsensusAE19" hidden="1">#REF!</definedName>
    <definedName name="IQRConsensusAE21" hidden="1">[6]Consensus!$AE$22:$AE$109</definedName>
    <definedName name="IQRConsensusAF17" hidden="1">#REF!</definedName>
    <definedName name="IQRConsensusAG17" hidden="1">#REF!</definedName>
    <definedName name="IQRConsensusAH17" hidden="1">#REF!</definedName>
    <definedName name="IQRConsensusAI17" hidden="1">#REF!</definedName>
    <definedName name="IQRConsensusAJ17" hidden="1">#REF!</definedName>
    <definedName name="IQRConsensusAK17" hidden="1">#REF!</definedName>
    <definedName name="IQRConsensusAL17" hidden="1">#REF!</definedName>
    <definedName name="IQRConsensusAM17" hidden="1">#REF!</definedName>
    <definedName name="IQRConsensusAN17" hidden="1">#REF!</definedName>
    <definedName name="IQRConsensusAO17" hidden="1">#REF!</definedName>
    <definedName name="IQRConsensusAP17" hidden="1">#REF!</definedName>
    <definedName name="IQRConsensusAQ17" hidden="1">#REF!</definedName>
    <definedName name="IQRConsensusAU17" hidden="1">#REF!</definedName>
    <definedName name="IQRConsensusAV17" hidden="1">#REF!</definedName>
    <definedName name="IQRConsensusAW17" hidden="1">#REF!</definedName>
    <definedName name="IQRConsensusAX17" hidden="1">#REF!</definedName>
    <definedName name="IQRConsensusAY17" hidden="1">#REF!</definedName>
    <definedName name="IQRConsensusAZ17" hidden="1">#REF!</definedName>
    <definedName name="IQRConsensusB35" hidden="1">#REF!</definedName>
    <definedName name="IQRConsensusB36" hidden="1">#REF!</definedName>
    <definedName name="IQRConsensusB38" hidden="1">#REF!</definedName>
    <definedName name="IQRConsensusB40" hidden="1">#REF!</definedName>
    <definedName name="IQRConsensusB41" hidden="1">#REF!</definedName>
    <definedName name="IQRConsensusB43" hidden="1">#REF!</definedName>
    <definedName name="IQRConsensusB44" hidden="1">#REF!</definedName>
    <definedName name="IQRConsensusBA17" hidden="1">#REF!</definedName>
    <definedName name="IQRConsensusBB17" hidden="1">#REF!</definedName>
    <definedName name="IQRConsensusBC17" hidden="1">#REF!</definedName>
    <definedName name="IQRConsensusBD17" hidden="1">#REF!</definedName>
    <definedName name="IQRConsensusBE17" hidden="1">#REF!</definedName>
    <definedName name="IQRConsensusBF17" hidden="1">#REF!</definedName>
    <definedName name="IQRConsensusBG17" hidden="1">#REF!</definedName>
    <definedName name="IQRConsensusBH17" hidden="1">#REF!</definedName>
    <definedName name="IQRConsensusBI17" hidden="1">#REF!</definedName>
    <definedName name="IQRConsensusBJ17" hidden="1">#REF!</definedName>
    <definedName name="IQRConsensusBK17" hidden="1">#REF!</definedName>
    <definedName name="IQRConsensusC35" hidden="1">#REF!</definedName>
    <definedName name="IQRConsensusC38" hidden="1">#REF!</definedName>
    <definedName name="IQRConsensusH32" hidden="1">#REF!</definedName>
    <definedName name="IQRConsensusH35" hidden="1">#REF!</definedName>
    <definedName name="IQRConsensusI32" hidden="1">#REF!</definedName>
    <definedName name="IQRConsensusI35" hidden="1">#REF!</definedName>
    <definedName name="IQRConsensusM33" hidden="1">#REF!</definedName>
    <definedName name="IQRConsensusQ17" hidden="1">#REF!</definedName>
    <definedName name="IQRConsensusQ18" hidden="1">#REF!</definedName>
    <definedName name="IQRConsensusS17" hidden="1">#REF!</definedName>
    <definedName name="IQRConsensusS18" hidden="1">#REF!</definedName>
    <definedName name="IQRConsensusS19" hidden="1">#REF!</definedName>
    <definedName name="IQRConsensusS21" hidden="1">[6]Consensus!$S$22:$S$109</definedName>
    <definedName name="IQRConsensusT17" hidden="1">#REF!</definedName>
    <definedName name="IQRConsensusT18" hidden="1">#REF!</definedName>
    <definedName name="IQRConsensusT19" hidden="1">#REF!</definedName>
    <definedName name="IQRConsensusT21" hidden="1">[6]Consensus!$T$22:$T$109</definedName>
    <definedName name="IQRConsensusU17" hidden="1">#REF!</definedName>
    <definedName name="IQRConsensusU18" hidden="1">#REF!</definedName>
    <definedName name="IQRConsensusU19" hidden="1">#REF!</definedName>
    <definedName name="IQRConsensusU21" hidden="1">[6]Consensus!$U$22:$U$109</definedName>
    <definedName name="IQRConsensusV17" hidden="1">#REF!</definedName>
    <definedName name="IQRConsensusV18" hidden="1">#REF!</definedName>
    <definedName name="IQRConsensusV19" hidden="1">#REF!</definedName>
    <definedName name="IQRConsensusV21" hidden="1">[6]Consensus!$V$22:$V$109</definedName>
    <definedName name="IQRConsensusW17" hidden="1">#REF!</definedName>
    <definedName name="IQRConsensusW18" hidden="1">#REF!</definedName>
    <definedName name="IQRConsensusW19" hidden="1">#REF!</definedName>
    <definedName name="IQRConsensusW21" hidden="1">[6]Consensus!$W$22:$W$109</definedName>
    <definedName name="IQRConsensusX17" hidden="1">#REF!</definedName>
    <definedName name="IQRConsensusX18" hidden="1">#REF!</definedName>
    <definedName name="IQRConsensusX19" hidden="1">#REF!</definedName>
    <definedName name="IQRConsensusX21" hidden="1">[6]Consensus!$X$22:$X$110</definedName>
    <definedName name="IQRConsensusY17" hidden="1">#REF!</definedName>
    <definedName name="IQRConsensusY18" hidden="1">#REF!</definedName>
    <definedName name="IQRConsensusY19" hidden="1">#REF!</definedName>
    <definedName name="IQRConsensusY21" hidden="1">[6]Consensus!$Y$22:$Y$109</definedName>
    <definedName name="IQRConsensusZ17" hidden="1">#REF!</definedName>
    <definedName name="IQRConsensusZ18" hidden="1">#REF!</definedName>
    <definedName name="IQRConsensusZ19" hidden="1">#REF!</definedName>
    <definedName name="IQRConsensusZ21" hidden="1">[6]Consensus!$Z$22:$Z$109</definedName>
    <definedName name="IQRCV14" hidden="1">"$CV$15:$CV$1044"</definedName>
    <definedName name="IQRCV16" hidden="1">"$CV$17"</definedName>
    <definedName name="IQRDataAP8" hidden="1">#REF!</definedName>
    <definedName name="IQRDataBG8" hidden="1">#REF!</definedName>
    <definedName name="IQRDataBL8" hidden="1">#REF!</definedName>
    <definedName name="IQRDataforFOAP8" hidden="1">#REF!</definedName>
    <definedName name="IQRDataforFOAP9" hidden="1">#REF!</definedName>
    <definedName name="IQRDataforFOAR12" hidden="1">#REF!</definedName>
    <definedName name="IQRDataforFOAS21" hidden="1">#REF!</definedName>
    <definedName name="IQRDataforFOAW11" hidden="1">#REF!</definedName>
    <definedName name="IQRDataforFOBG9" hidden="1">#REF!</definedName>
    <definedName name="IQRDataforFOBL9" hidden="1">#REF!</definedName>
    <definedName name="IQRDBBMWBQ12" hidden="1">#REF!</definedName>
    <definedName name="IQRDBSIEBQ12" hidden="1">#REF!</definedName>
    <definedName name="IQRDBSIEBT12" hidden="1">#REF!</definedName>
    <definedName name="IQRE14" hidden="1">"$E$15:$E$114"</definedName>
    <definedName name="IQREarningsSurpriseF9" hidden="1">#REF!</definedName>
    <definedName name="IQREarningsSurpriseGuidanceAH4" hidden="1">#REF!</definedName>
    <definedName name="IQREarningsSurpriseGuidanceAT140" hidden="1">#REF!</definedName>
    <definedName name="IQREarningsSurpriseGuidanceAT9" hidden="1">#REF!</definedName>
    <definedName name="IQREarningsSurpriseGuidanceAU9" hidden="1">#REF!</definedName>
    <definedName name="IQREarningsSurpriseGuidanceO9" hidden="1">#REF!</definedName>
    <definedName name="IQREarningsSurpriseGuidanceU4" hidden="1">#REF!</definedName>
    <definedName name="IQREarningsSurpriseGuidanceV4" hidden="1">#REF!</definedName>
    <definedName name="IQREarningsSurpriseGuidanceV7" hidden="1">#REF!</definedName>
    <definedName name="IQREarningsSurpriseGuidanceW4" hidden="1">#REF!</definedName>
    <definedName name="IQREarningsSurpriseGuidanceX117" hidden="1">#REF!</definedName>
    <definedName name="IQREarningsSurpriseGuidanceY105" hidden="1">#REF!</definedName>
    <definedName name="IQREarningsSurpriseGuidanceY118" hidden="1">#REF!</definedName>
    <definedName name="IQREarningsSurpriseGuidanceY77" hidden="1">#REF!</definedName>
    <definedName name="IQREarningsSurpriseGuidanceZ110" hidden="1">#REF!</definedName>
    <definedName name="IQREarningsSurpriseGuidanceZ129" hidden="1">#REF!</definedName>
    <definedName name="IQREarningsSurpriseGuidanceZ141" hidden="1">#REF!</definedName>
    <definedName name="IQREarningsSurpriseGuidanceZ92" hidden="1">#REF!</definedName>
    <definedName name="IQREarningsSurpriseGuidanceZ98" hidden="1">#REF!</definedName>
    <definedName name="IQREarningsSurpriseW15" hidden="1">#REF!</definedName>
    <definedName name="IQREL8" hidden="1">"$EL$9:$EL$269"</definedName>
    <definedName name="IQREN11" hidden="1">"$EN$12:$EN$14"</definedName>
    <definedName name="IQRENXTPALRBQ12" hidden="1">#REF!</definedName>
    <definedName name="IQRENXTPALRBT12" hidden="1">#REF!</definedName>
    <definedName name="IQRENXTPASUBQ12" hidden="1">#REF!</definedName>
    <definedName name="IQRENXTPASUBT12" hidden="1">#REF!</definedName>
    <definedName name="IQREQ11" hidden="1">"$EQ$12:$EQ$14"</definedName>
    <definedName name="IQREQ8" hidden="1">"$EQ$9:$EQ$60"</definedName>
    <definedName name="IQRFA11" hidden="1">"$FA$12:$FA$510"</definedName>
    <definedName name="IQRFD11" hidden="1">"$FD$12:$FD$510"</definedName>
    <definedName name="IQRFE11" hidden="1">"$FE$12"</definedName>
    <definedName name="IQRFH11" hidden="1">"$FH$12"</definedName>
    <definedName name="IQRFinancialDataAG22" hidden="1">#REF!</definedName>
    <definedName name="IQRFinancialDataAG28" hidden="1">#REF!</definedName>
    <definedName name="IQRFinancialDataAH22" hidden="1">#REF!</definedName>
    <definedName name="IQRFinancialOverviewAA753" hidden="1">#REF!</definedName>
    <definedName name="IQRFinancialOverviewAO752" hidden="1">#REF!</definedName>
    <definedName name="IQRFinancialOverviewAP752" hidden="1">#REF!</definedName>
    <definedName name="IQRFinancialOverviewBA9" hidden="1">#REF!</definedName>
    <definedName name="IQRFR11" hidden="1">"$FR$12:$FR$511"</definedName>
    <definedName name="IQRFU11" hidden="1">"$FU$12:$FU$511"</definedName>
    <definedName name="IQRG14" hidden="1">"$G$15:$G$114"</definedName>
    <definedName name="IQRGraphEPSDataP8" hidden="1">#REF!</definedName>
    <definedName name="IQRGraphEPSDataU8" hidden="1">#REF!</definedName>
    <definedName name="IQRGuidanceBC13" hidden="1">#REF!</definedName>
    <definedName name="IQRGuidanceM1" hidden="1">#REF!</definedName>
    <definedName name="IQRHLSEKNEBVBQ12" hidden="1">#REF!</definedName>
    <definedName name="IQRHLSEKNEBVBT12" hidden="1">#REF!</definedName>
    <definedName name="IQRI14" hidden="1">"$I$15:$I$114"</definedName>
    <definedName name="IQRI21" hidden="1">"$I$22:$I$26"</definedName>
    <definedName name="IQRI32" hidden="1">"$I$33:$I$37"</definedName>
    <definedName name="IQRI33" hidden="1">"$I$34"</definedName>
    <definedName name="IQRI7" hidden="1">"$I$8:$I$19"</definedName>
    <definedName name="IQRInputSummaryH4" hidden="1">#REF!</definedName>
    <definedName name="IQRInputSummaryM4" hidden="1">#REF!</definedName>
    <definedName name="IQRInputSummaryS23" hidden="1">#REF!</definedName>
    <definedName name="IQRIQ1038328BQ12" hidden="1">#REF!</definedName>
    <definedName name="IQRIQ122655BT12" hidden="1">#REF!</definedName>
    <definedName name="IQRIQ1459187BQ12" hidden="1">#REF!</definedName>
    <definedName name="IQRIQ1459187BT12" hidden="1">#REF!</definedName>
    <definedName name="IQRIQ1530086BQ12" hidden="1">#REF!</definedName>
    <definedName name="IQRIQ1530086BT12" hidden="1">#REF!</definedName>
    <definedName name="IQRIQ160210BT12" hidden="1">#REF!</definedName>
    <definedName name="IQRIQ19049BT12" hidden="1">#REF!</definedName>
    <definedName name="IQRIQ22385966BQ12" hidden="1">#REF!</definedName>
    <definedName name="IQRIQ22385966BT12" hidden="1">#REF!</definedName>
    <definedName name="IQRIQ24937BT12" hidden="1">#REF!</definedName>
    <definedName name="IQRIQ29096BQ12" hidden="1">#REF!</definedName>
    <definedName name="IQRIQ31973BT12" hidden="1">#REF!</definedName>
    <definedName name="IQRIQ377732BT12" hidden="1">#REF!</definedName>
    <definedName name="IQRIQ6411769BQ12" hidden="1">#REF!</definedName>
    <definedName name="IQRIQ6411769BR12" hidden="1">#REF!</definedName>
    <definedName name="IQRIQ6411769BS12" hidden="1">#REF!</definedName>
    <definedName name="IQRIQ6411769BT12" hidden="1">#REF!</definedName>
    <definedName name="IQRIQ671980BT12" hidden="1">#REF!</definedName>
    <definedName name="IQRIQ687140BT12" hidden="1">#REF!</definedName>
    <definedName name="IQRIQ862503BQ12" hidden="1">#REF!</definedName>
    <definedName name="IQRIQ862503BT12" hidden="1">#REF!</definedName>
    <definedName name="IQRIQ874650BT12" hidden="1">#REF!</definedName>
    <definedName name="IQRIQ878373BT12" hidden="1">#REF!</definedName>
    <definedName name="IQRIQ882701BQ12" hidden="1">#REF!</definedName>
    <definedName name="IQRIQ97518BQ12" hidden="1">#REF!</definedName>
    <definedName name="IQRIQ9849062BT12" hidden="1">#REF!</definedName>
    <definedName name="IQRIQ99674BQ12" hidden="1">#REF!</definedName>
    <definedName name="IQRJ32" hidden="1">"$J$33:$J$37"</definedName>
    <definedName name="IQRJ7" hidden="1">"$J$8:$J$23"</definedName>
    <definedName name="IQRJ8" hidden="1">"$J$9:$J$269"</definedName>
    <definedName name="IQRJSEMTNBT12" hidden="1">#REF!</definedName>
    <definedName name="IQRK14" hidden="1">"$K$15:$K$114"</definedName>
    <definedName name="IQRK32" hidden="1">"$K$33:$K$37"</definedName>
    <definedName name="IQRK7" hidden="1">"$K$8:$K$34"</definedName>
    <definedName name="IQRKeyDevelopmentsB6" hidden="1">#REF!</definedName>
    <definedName name="IQRKeyDevelopmentsL5" hidden="1">#REF!</definedName>
    <definedName name="IQRKeyDevelopmentsL6" hidden="1">#REF!</definedName>
    <definedName name="IQRKeyDevelopmentsL7" hidden="1">#REF!</definedName>
    <definedName name="IQRKeyDevelopmentsV6" hidden="1">#REF!</definedName>
    <definedName name="IQRKeyProfessionalsB19" hidden="1">#REF!</definedName>
    <definedName name="IQRKeyProfessionalsB20" hidden="1">#REF!</definedName>
    <definedName name="IQRKeyProfessionalsB21" hidden="1">#REF!</definedName>
    <definedName name="IQRKeyProfessionalsB22" hidden="1">#REF!</definedName>
    <definedName name="IQRKeyProfessionalsB6" hidden="1">#REF!</definedName>
    <definedName name="IQRKeyProfessionalsB7" hidden="1">#REF!</definedName>
    <definedName name="IQRKeyProfessionalsB8" hidden="1">#REF!</definedName>
    <definedName name="IQRKeyProfessionalsC19" hidden="1">#REF!</definedName>
    <definedName name="IQRKeyProfessionalsC20" hidden="1">#REF!</definedName>
    <definedName name="IQRKeyProfessionalsC21" hidden="1">#REF!</definedName>
    <definedName name="IQRKeyProfessionalsC22" hidden="1">#REF!</definedName>
    <definedName name="IQRKeyProfessionalsC6" hidden="1">#REF!</definedName>
    <definedName name="IQRKeyProfessionalsC7" hidden="1">#REF!</definedName>
    <definedName name="IQRKeyProfessionalsC8" hidden="1">#REF!</definedName>
    <definedName name="IQRKeyProfessionalsD21" hidden="1">#REF!</definedName>
    <definedName name="IQRKeyProfessionalsD7" hidden="1">#REF!</definedName>
    <definedName name="IQRKeyProfessionalsE21" hidden="1">#REF!</definedName>
    <definedName name="IQRKeyProfessionalsE6" hidden="1">#REF!</definedName>
    <definedName name="IQRKeyProfessionalsE7" hidden="1">#REF!</definedName>
    <definedName name="IQRKeyProfessionalsF6" hidden="1">#REF!</definedName>
    <definedName name="IQRKeyProfessionalsF7" hidden="1">#REF!</definedName>
    <definedName name="IQRL7" hidden="1">"$L$8:$L$135"</definedName>
    <definedName name="IQRL8" hidden="1">"$L$9:$L$269"</definedName>
    <definedName name="IQRLN4" hidden="1">"$LN$5:$LN$132"</definedName>
    <definedName name="IQRLSEAFRBQ12" hidden="1">#REF!</definedName>
    <definedName name="IQRLSEAZNBQ12" hidden="1">#REF!</definedName>
    <definedName name="IQRLSEAZNBT12" hidden="1">#REF!</definedName>
    <definedName name="IQRLSEBARCBT12" hidden="1">#REF!</definedName>
    <definedName name="IQRLSEBPBT12" hidden="1">#REF!</definedName>
    <definedName name="IQRLSEDGEBQ12" hidden="1">#REF!</definedName>
    <definedName name="IQRLSEDGEBT12" hidden="1">#REF!</definedName>
    <definedName name="IQRLSETSCOBQ12" hidden="1">#REF!</definedName>
    <definedName name="IQRLSETSCOBT12" hidden="1">#REF!</definedName>
    <definedName name="IQRLSEVODBT12" hidden="1">#REF!</definedName>
    <definedName name="IQRM1" hidden="1">"$M$2:$M$5"</definedName>
    <definedName name="IQRM14" hidden="1">"$M$15:$M$114"</definedName>
    <definedName name="IQRM26" hidden="1">"$M$27:$M$279"</definedName>
    <definedName name="IQRM7" hidden="1">"$M$8:$M$131"</definedName>
    <definedName name="IQRMATransactionsA4" hidden="1">#REF!</definedName>
    <definedName name="IQRMATransactionsA5" hidden="1">#REF!</definedName>
    <definedName name="IQRMultiplesL8" hidden="1">#REF!</definedName>
    <definedName name="IQRMultiplesS8" hidden="1">#REF!</definedName>
    <definedName name="IQRN38" hidden="1">"$N$39:$N$82"</definedName>
    <definedName name="IQRN7" hidden="1">"$N$8:$N$38"</definedName>
    <definedName name="IQRN82" hidden="1">"$N$83:$N$126"</definedName>
    <definedName name="IQRNasdaqGSREXXBQ12" hidden="1">#REF!</definedName>
    <definedName name="IQRNYSEBLKBT12" hidden="1">#REF!</definedName>
    <definedName name="IQRNYSEIBMBQ12" hidden="1">#REF!</definedName>
    <definedName name="IQRnyseibmBT12" hidden="1">#REF!</definedName>
    <definedName name="IQRO14" hidden="1">"$O$15:$O$114"</definedName>
    <definedName name="IQRO7" hidden="1">"$O$8:$O$189"</definedName>
    <definedName name="IQRO8" hidden="1">"$O$9:$O$60"</definedName>
    <definedName name="IQROMASSABBQ12" hidden="1">#REF!</definedName>
    <definedName name="IQROMASSABBT12" hidden="1">#REF!</definedName>
    <definedName name="IQROMATCOABQ12" hidden="1">#REF!</definedName>
    <definedName name="IQROMATCOABT12" hidden="1">#REF!</definedName>
    <definedName name="IQROMSANDBQ12" hidden="1">#REF!</definedName>
    <definedName name="IQROMSANDBT12" hidden="1">#REF!</definedName>
    <definedName name="IQROMSKFBBQ12" hidden="1">#REF!</definedName>
    <definedName name="IQROMSKFBBT12" hidden="1">#REF!</definedName>
    <definedName name="IQROverview2CV14" hidden="1">#REF!</definedName>
    <definedName name="IQROverview2EN11" hidden="1">#REF!</definedName>
    <definedName name="IQROverview2EQ11" hidden="1">#REF!</definedName>
    <definedName name="IQROverview2FA11" hidden="1">#REF!</definedName>
    <definedName name="IQROverview2FD11" hidden="1">#REF!</definedName>
    <definedName name="IQRP7" hidden="1">"$P$8:$P$151"</definedName>
    <definedName name="IQRP8" hidden="1">"$P$9:$P$269"</definedName>
    <definedName name="IQRPeopleH12" hidden="1">[2]People!$I$12:$L$12</definedName>
    <definedName name="IQRPeopleH13" hidden="1">[2]People!$I$13:$M$13</definedName>
    <definedName name="IQRPeopleH14" hidden="1">[2]People!$I$14:$L$14</definedName>
    <definedName name="IQRPeopleH15" hidden="1">[2]People!$I$15:$K$15</definedName>
    <definedName name="IQRPeopleN12" hidden="1">[2]People!$O$12:$R$12</definedName>
    <definedName name="IQRPeopleN13" hidden="1">[2]People!$O$13:$S$13</definedName>
    <definedName name="IQRPeopleN14" hidden="1">[2]People!$O$14:$R$14</definedName>
    <definedName name="IQRPeopleN15" hidden="1">[2]People!$O$15:$Q$15</definedName>
    <definedName name="IQRPriceDataJ2" hidden="1">#REF!</definedName>
    <definedName name="IQRPrivateOwnershipA3" hidden="1">#REF!</definedName>
    <definedName name="IQRPrivateOwnershipB10" hidden="1">#REF!</definedName>
    <definedName name="IQRPrivateOwnershipB18" hidden="1">#REF!</definedName>
    <definedName name="IQRPrivateOwnershipB29" hidden="1">#REF!</definedName>
    <definedName name="IQRPrivateOwnershipB3" hidden="1">#REF!</definedName>
    <definedName name="IQRPrivateOwnershipB5" hidden="1">#REF!</definedName>
    <definedName name="IQRPrivateOwnershipB6" hidden="1">#REF!</definedName>
    <definedName name="IQRPrivateOwnershipB7" hidden="1">#REF!</definedName>
    <definedName name="IQRPrivateOwnershipC10" hidden="1">#REF!</definedName>
    <definedName name="IQRPrivateOwnershipC18" hidden="1">#REF!</definedName>
    <definedName name="IQRPrivateOwnershipC29" hidden="1">#REF!</definedName>
    <definedName name="IQRPrivateOwnershipC3" hidden="1">#REF!</definedName>
    <definedName name="IQRPrivateOwnershipC5" hidden="1">#REF!</definedName>
    <definedName name="IQRPrivateOwnershipC7" hidden="1">#REF!</definedName>
    <definedName name="IQRPrivateOwnershipD16" hidden="1">#REF!</definedName>
    <definedName name="IQRPrivateOwnershipD29" hidden="1">#REF!</definedName>
    <definedName name="IQRPrivateOwnershipD3" hidden="1">#REF!</definedName>
    <definedName name="IQRPrivateOwnershipD5" hidden="1">#REF!</definedName>
    <definedName name="IQRPrivateOwnershipE3" hidden="1">#REF!</definedName>
    <definedName name="IQRPrivateOwnershipE5" hidden="1">#REF!</definedName>
    <definedName name="IQRPrivateOwnershipF3" hidden="1">#REF!</definedName>
    <definedName name="IQRPrivateOwnershipG3" hidden="1">#REF!</definedName>
    <definedName name="IQRPrivateOwnershipG5" hidden="1">#REF!</definedName>
    <definedName name="IQRPrivateOwnershipH3" hidden="1">#REF!</definedName>
    <definedName name="IQRPrivateOwnershipH5" hidden="1">#REF!</definedName>
    <definedName name="IQRPrivateOwnershipI3" hidden="1">#REF!</definedName>
    <definedName name="IQRPrivateOwnershipI5" hidden="1">#REF!</definedName>
    <definedName name="IQRPrivateOwnershipJ5" hidden="1">#REF!</definedName>
    <definedName name="IQRPrivateOwnershipN5" hidden="1">#REF!</definedName>
    <definedName name="IQRPrivateOwnershipO5" hidden="1">#REF!</definedName>
    <definedName name="IQRPrivateOwnershipP5" hidden="1">#REF!</definedName>
    <definedName name="IQRPrivateOwnershipQ5" hidden="1">#REF!</definedName>
    <definedName name="IQRProfessionalsB19" hidden="1">#REF!</definedName>
    <definedName name="IQRProfessionalsB6" hidden="1">#REF!</definedName>
    <definedName name="IQRProfessionalsC19" hidden="1">#REF!</definedName>
    <definedName name="IQRProfessionalsC6" hidden="1">#REF!</definedName>
    <definedName name="IQRQ14" hidden="1">"$Q$15:$Q$114"</definedName>
    <definedName name="IQRQ7" hidden="1">"$Q$8:$Q$168"</definedName>
    <definedName name="IQRQ8" hidden="1">"$Q$9:$Q$321"</definedName>
    <definedName name="IQRR5" hidden="1">"$R$6:$R$934"</definedName>
    <definedName name="IQRR7" hidden="1">"$R$8:$R$94"</definedName>
    <definedName name="IQRR8" hidden="1">"$R$9:$R$321"</definedName>
    <definedName name="IQRRevenuebySegmentB17" hidden="1">#REF!</definedName>
    <definedName name="IQRRevenuebySegmentB18" hidden="1">#REF!</definedName>
    <definedName name="IQRRevenuebySegmentB3" hidden="1">#REF!</definedName>
    <definedName name="IQRRevenuebySegmentB31" hidden="1">#REF!</definedName>
    <definedName name="IQRRevenuebySegmentB4" hidden="1">#REF!</definedName>
    <definedName name="IQRRevenuebySegmentC17" hidden="1">#REF!</definedName>
    <definedName name="IQRRevenuebySegmentC18" hidden="1">#REF!</definedName>
    <definedName name="IQRRevenuebySegmentC3" hidden="1">#REF!</definedName>
    <definedName name="IQRRevenuebySegmentC4" hidden="1">#REF!</definedName>
    <definedName name="IQRRevenuebySegmentD17" hidden="1">#REF!</definedName>
    <definedName name="IQRRevenuebySegmentD18" hidden="1">#REF!</definedName>
    <definedName name="IQRRevenuebySegmentD3" hidden="1">#REF!</definedName>
    <definedName name="IQRRevenuebySegmentD32" hidden="1">#REF!</definedName>
    <definedName name="IQRRevenuebySegmentD4" hidden="1">#REF!</definedName>
    <definedName name="IQRRevenuebySegmentE17" hidden="1">#REF!</definedName>
    <definedName name="IQRRevenuebySegmentE18" hidden="1">#REF!</definedName>
    <definedName name="IQRRevenuebySegmentE3" hidden="1">#REF!</definedName>
    <definedName name="IQRRevenuebySegmentE4" hidden="1">#REF!</definedName>
    <definedName name="IQRRevenuebySegmentF17" hidden="1">#REF!</definedName>
    <definedName name="IQRRevenuebySegmentF18" hidden="1">#REF!</definedName>
    <definedName name="IQRRevenuebySegmentF3" hidden="1">#REF!</definedName>
    <definedName name="IQRRevenuebySegmentF4" hidden="1">#REF!</definedName>
    <definedName name="IQRRevenuebySegmentG17" hidden="1">#REF!</definedName>
    <definedName name="IQRRevenuebySegmentG18" hidden="1">#REF!</definedName>
    <definedName name="IQRRevenuebySegmentG3" hidden="1">#REF!</definedName>
    <definedName name="IQRRevenuebySegmentG32" hidden="1">#REF!</definedName>
    <definedName name="IQRRevenuebySegmentG4" hidden="1">#REF!</definedName>
    <definedName name="IQRRevenuebySegmentG6" hidden="1">#REF!</definedName>
    <definedName name="IQRRevenuebySegmentH17" hidden="1">#REF!</definedName>
    <definedName name="IQRRevenuebySegmentH18" hidden="1">#REF!</definedName>
    <definedName name="IQRRevenuebySegmentH3" hidden="1">#REF!</definedName>
    <definedName name="IQRRevenuebySegmentH4" hidden="1">#REF!</definedName>
    <definedName name="IQRRevenuebySegmentsB18" hidden="1">#REF!</definedName>
    <definedName name="IQRRevenuebySegmentsB19" hidden="1">#REF!</definedName>
    <definedName name="IQRRevenuebySegmentsB21" hidden="1">#REF!</definedName>
    <definedName name="IQRRevenuebySegmentsB23" hidden="1">#REF!</definedName>
    <definedName name="IQRRevenuebySegmentsB32" hidden="1">#REF!</definedName>
    <definedName name="IQRRevenuebySegmentsB33" hidden="1">#REF!</definedName>
    <definedName name="IQRRevenuebySegmentsB4" hidden="1">#REF!</definedName>
    <definedName name="IQRRevenuebySegmentsB5" hidden="1">#REF!</definedName>
    <definedName name="IQRRevenuebySegmentsB6" hidden="1">#REF!</definedName>
    <definedName name="IQRRevenuebySegmentsB8" hidden="1">#REF!</definedName>
    <definedName name="IQRRevenuebySegmentsC18" hidden="1">#REF!</definedName>
    <definedName name="IQRRevenuebySegmentsC19" hidden="1">#REF!</definedName>
    <definedName name="IQRRevenuebySegmentsC21" hidden="1">#REF!</definedName>
    <definedName name="IQRRevenuebySegmentsC23" hidden="1">#REF!</definedName>
    <definedName name="IQRRevenuebySegmentsC4" hidden="1">#REF!</definedName>
    <definedName name="IQRRevenuebySegmentsC5" hidden="1">#REF!</definedName>
    <definedName name="IQRRevenuebySegmentsC6" hidden="1">#REF!</definedName>
    <definedName name="IQRRevenuebySegmentsC8" hidden="1">#REF!</definedName>
    <definedName name="IQRRevenuebySegmentsD18" hidden="1">#REF!</definedName>
    <definedName name="IQRRevenuebySegmentsD19" hidden="1">#REF!</definedName>
    <definedName name="IQRRevenuebySegmentsD21" hidden="1">#REF!</definedName>
    <definedName name="IQRRevenuebySegmentsD23" hidden="1">#REF!</definedName>
    <definedName name="IQRRevenuebySegmentsD4" hidden="1">#REF!</definedName>
    <definedName name="IQRRevenuebySegmentsD5" hidden="1">#REF!</definedName>
    <definedName name="IQRRevenuebySegmentsD6" hidden="1">#REF!</definedName>
    <definedName name="IQRRevenuebySegmentsD8" hidden="1">#REF!</definedName>
    <definedName name="IQRRevenuebySegmentsE18" hidden="1">#REF!</definedName>
    <definedName name="IQRRevenuebySegmentsE19" hidden="1">#REF!</definedName>
    <definedName name="IQRRevenuebySegmentsE21" hidden="1">#REF!</definedName>
    <definedName name="IQRRevenuebySegmentsE23" hidden="1">#REF!</definedName>
    <definedName name="IQRRevenuebySegmentsE4" hidden="1">#REF!</definedName>
    <definedName name="IQRRevenuebySegmentsE5" hidden="1">#REF!</definedName>
    <definedName name="IQRRevenuebySegmentsE6" hidden="1">#REF!</definedName>
    <definedName name="IQRRevenuebySegmentsE8" hidden="1">#REF!</definedName>
    <definedName name="IQRRevenuebySegmentsF18" hidden="1">#REF!</definedName>
    <definedName name="IQRRevenuebySegmentsF19" hidden="1">#REF!</definedName>
    <definedName name="IQRRevenuebySegmentsF21" hidden="1">#REF!</definedName>
    <definedName name="IQRRevenuebySegmentsF23" hidden="1">#REF!</definedName>
    <definedName name="IQRRevenuebySegmentsF4" hidden="1">#REF!</definedName>
    <definedName name="IQRRevenuebySegmentsF5" hidden="1">#REF!</definedName>
    <definedName name="IQRRevenuebySegmentsF6" hidden="1">#REF!</definedName>
    <definedName name="IQRRevenuebySegmentsF8" hidden="1">#REF!</definedName>
    <definedName name="IQRRevenuebySegmentsG18" hidden="1">#REF!</definedName>
    <definedName name="IQRRevenuebySegmentsG19" hidden="1">#REF!</definedName>
    <definedName name="IQRRevenuebySegmentsG21" hidden="1">#REF!</definedName>
    <definedName name="IQRRevenuebySegmentsG23" hidden="1">#REF!</definedName>
    <definedName name="IQRRevenuebySegmentsG4" hidden="1">#REF!</definedName>
    <definedName name="IQRRevenuebySegmentsG5" hidden="1">#REF!</definedName>
    <definedName name="IQRRevenuebySegmentsG6" hidden="1">#REF!</definedName>
    <definedName name="IQRRevenuebySegmentsG8" hidden="1">#REF!</definedName>
    <definedName name="IQRRevenuebySegmentsH18" hidden="1">#REF!</definedName>
    <definedName name="IQRRevenuebySegmentsH19" hidden="1">#REF!</definedName>
    <definedName name="IQRRevenuebySegmentsH21" hidden="1">#REF!</definedName>
    <definedName name="IQRRevenuebySegmentsH23" hidden="1">#REF!</definedName>
    <definedName name="IQRRevenuebySegmentsH4" hidden="1">#REF!</definedName>
    <definedName name="IQRRevenuebySegmentsH5" hidden="1">#REF!</definedName>
    <definedName name="IQRRevenuebySegmentsH6" hidden="1">#REF!</definedName>
    <definedName name="IQRRevenuebySegmentsH8" hidden="1">#REF!</definedName>
    <definedName name="IQRRevision2S7" hidden="1">#REF!</definedName>
    <definedName name="IQRRevisionS4" hidden="1">#REF!</definedName>
    <definedName name="IQRRevisionS5" hidden="1">#REF!</definedName>
    <definedName name="IQRRevisionS6" hidden="1">#REF!</definedName>
    <definedName name="IQRRevisionS7" hidden="1">[7]Revision!$S$8:$S$59</definedName>
    <definedName name="IQRRevisionS8" hidden="1">#REF!</definedName>
    <definedName name="IQRRevisionS9" hidden="1">[6]Revision!$S$10:$S$61</definedName>
    <definedName name="IQRRevisionT7" hidden="1">#REF!</definedName>
    <definedName name="IQRRevisionZ7" hidden="1">#REF!</definedName>
    <definedName name="IQRRevisionZ9" hidden="1">#REF!</definedName>
    <definedName name="IQRS12" hidden="1">"$S$13:$S$264"</definedName>
    <definedName name="IQRS14" hidden="1">"$S$15:$S$114"</definedName>
    <definedName name="IQRS7" hidden="1">"$S$8:$S$62"</definedName>
    <definedName name="IQRS8" hidden="1">"$S$9:$S$60"</definedName>
    <definedName name="IQRSegmentsB24" hidden="1">#REF!</definedName>
    <definedName name="IQRSegmentsB9" hidden="1">#REF!</definedName>
    <definedName name="IQRSegmentsC24" hidden="1">#REF!</definedName>
    <definedName name="IQRSegmentsC9" hidden="1">#REF!</definedName>
    <definedName name="IQRSegmentsD24" hidden="1">#REF!</definedName>
    <definedName name="IQRSegmentsD9" hidden="1">#REF!</definedName>
    <definedName name="IQRSegmentsE24" hidden="1">#REF!</definedName>
    <definedName name="IQRSegmentsE9" hidden="1">#REF!</definedName>
    <definedName name="IQRSegmentsF24" hidden="1">#REF!</definedName>
    <definedName name="IQRSegmentsF9" hidden="1">#REF!</definedName>
    <definedName name="IQRSegmentsG24" hidden="1">#REF!</definedName>
    <definedName name="IQRSegmentsG9" hidden="1">#REF!</definedName>
    <definedName name="IQRSegmentsH24" hidden="1">#REF!</definedName>
    <definedName name="IQRSegmentsH9" hidden="1">#REF!</definedName>
    <definedName name="IQRSegmentsI24" hidden="1">#REF!</definedName>
    <definedName name="IQRSegmentsI9" hidden="1">#REF!</definedName>
    <definedName name="IQRShareDetailsAA7" hidden="1">#REF!</definedName>
    <definedName name="IQRShareDetailsAG11" hidden="1">#REF!</definedName>
    <definedName name="IQRShareDetailsAG9" hidden="1">#REF!</definedName>
    <definedName name="IQRShareDetailsAH9" hidden="1">#REF!</definedName>
    <definedName name="IQRShareDetailsAP10" hidden="1">#REF!</definedName>
    <definedName name="IQRShareDetailsC14" hidden="1">#REF!</definedName>
    <definedName name="IQRShareDetailsC16" hidden="1">#REF!</definedName>
    <definedName name="IQRShareDetailsCV10" hidden="1">#REF!</definedName>
    <definedName name="IQRShareDetailsCV14" hidden="1">#REF!</definedName>
    <definedName name="IQRShareDetailsCZ9" hidden="1">#REF!</definedName>
    <definedName name="IQRShareDetailsD14" hidden="1">#REF!</definedName>
    <definedName name="IQRShareDetailsD17" hidden="1">#REF!</definedName>
    <definedName name="IQRShareDetailsD22" hidden="1">#REF!</definedName>
    <definedName name="IQRShareDetailsDL9" hidden="1">#REF!</definedName>
    <definedName name="IQRShareDetailsEB9" hidden="1">#REF!</definedName>
    <definedName name="IQRShareDetailsFE11" hidden="1">#REF!</definedName>
    <definedName name="IQRShareDetailsFH11" hidden="1">#REF!</definedName>
    <definedName name="IQRShareDetailsFO11" hidden="1">'[8]Share Details'!$FO$12</definedName>
    <definedName name="IQRShareDetailsFO7" hidden="1">#REF!</definedName>
    <definedName name="IQRShareDetailsFR11" hidden="1">'[8]Share Details'!$FR$12</definedName>
    <definedName name="IQRShareDetailsFR7" hidden="1">#REF!</definedName>
    <definedName name="IQRShareDetailsFU11" hidden="1">#REF!</definedName>
    <definedName name="IQRShareDetailsG23" hidden="1">#REF!</definedName>
    <definedName name="IQRShareDetailsG24" hidden="1">#REF!</definedName>
    <definedName name="IQRShareDetailsG25" hidden="1">#REF!</definedName>
    <definedName name="IQRShareDetailsG26" hidden="1">#REF!</definedName>
    <definedName name="IQRShareDetailsG40" hidden="1">#REF!</definedName>
    <definedName name="IQRShareDetailsGB11" hidden="1">'[8]Share Details'!$GB$12</definedName>
    <definedName name="IQRShareDetailsGB7" hidden="1">#REF!</definedName>
    <definedName name="IQRShareDetailsGE11" hidden="1">'[8]Share Details'!$GE$12</definedName>
    <definedName name="IQRShareDetailsGE7" hidden="1">#REF!</definedName>
    <definedName name="IQRShareDetailsH23" hidden="1">#REF!</definedName>
    <definedName name="IQRShareDetailsH24" hidden="1">#REF!</definedName>
    <definedName name="IQRShareDetailsH25" hidden="1">#REF!</definedName>
    <definedName name="IQRShareDetailsH26" hidden="1">#REF!</definedName>
    <definedName name="IQRShareDetailsIR9" hidden="1">#REF!</definedName>
    <definedName name="IQRShareDetailsJ23" hidden="1">#REF!</definedName>
    <definedName name="IQRShareDetailsJ24" hidden="1">#REF!</definedName>
    <definedName name="IQRShareDetailsJ40" hidden="1">#REF!</definedName>
    <definedName name="IQRShareDetailsK23" hidden="1">#REF!</definedName>
    <definedName name="IQRShareDetailsK24" hidden="1">#REF!</definedName>
    <definedName name="IQRShareDetailsK25" hidden="1">#REF!</definedName>
    <definedName name="IQRShareDetailsK26" hidden="1">#REF!</definedName>
    <definedName name="IQRShareDetailsK27" hidden="1">'[6]Share Details'!$K$28:$K$37</definedName>
    <definedName name="IQRShareDetailsL23" hidden="1">#REF!</definedName>
    <definedName name="IQRShareDetailsL24" hidden="1">#REF!</definedName>
    <definedName name="IQRShareDetailsL25" hidden="1">#REF!</definedName>
    <definedName name="IQRShareDetailsL26" hidden="1">#REF!</definedName>
    <definedName name="IQRShareDetailsL27" hidden="1">'[6]Share Details'!$L$28:$L$37</definedName>
    <definedName name="IQRShareDetailsLN4" hidden="1">#REF!</definedName>
    <definedName name="IQRShareDetailsLX4" hidden="1">#REF!</definedName>
    <definedName name="IQRShareDetailsLX9" hidden="1">#REF!</definedName>
    <definedName name="IQRShareDetailsM23" hidden="1">#REF!</definedName>
    <definedName name="IQRShareDetailsM24" hidden="1">#REF!</definedName>
    <definedName name="IQRShareDetailsM40" hidden="1">#REF!</definedName>
    <definedName name="IQRShareDetailsN10" hidden="1">#REF!</definedName>
    <definedName name="IQRShareDetailsN12" hidden="1">#REF!</definedName>
    <definedName name="IQRShareDetailsN14" hidden="1">#REF!</definedName>
    <definedName name="IQRShareDetailsN16" hidden="1">#REF!</definedName>
    <definedName name="IQRShareDetailsN17" hidden="1">#REF!</definedName>
    <definedName name="IQRShareDetailsN18" hidden="1">#REF!</definedName>
    <definedName name="IQRShareDetailsN23" hidden="1">#REF!</definedName>
    <definedName name="IQRShareDetailsN24" hidden="1">#REF!</definedName>
    <definedName name="IQRShareDetailsN40" hidden="1">#REF!</definedName>
    <definedName name="IQRShareDetailsN7" hidden="1">#REF!</definedName>
    <definedName name="IQRShareDetailsN8" hidden="1">#REF!</definedName>
    <definedName name="IQRShareDetailsN9" hidden="1">#REF!</definedName>
    <definedName name="IQRShareDetailsP1" hidden="1">#REF!</definedName>
    <definedName name="IQRShareDetailsP7" hidden="1">#REF!</definedName>
    <definedName name="IQRShareDetailsS7" hidden="1">#REF!</definedName>
    <definedName name="IQRShareDetailsT10" hidden="1">#REF!</definedName>
    <definedName name="IQRShareDetailsU10" hidden="1">#REF!</definedName>
    <definedName name="IQRShareDetailsV7" hidden="1">#REF!</definedName>
    <definedName name="IQRShareDetailsV8" hidden="1">#REF!</definedName>
    <definedName name="IQRShareDetailsV9" hidden="1">#REF!</definedName>
    <definedName name="IQRShareDetailsX7" hidden="1">#REF!</definedName>
    <definedName name="IQRSharePriceSnapshotCV14" hidden="1">#REF!</definedName>
    <definedName name="IQRSharePriceSnapshotFA11" hidden="1">#REF!</definedName>
    <definedName name="IQRSharePriceSnapshotFD11" hidden="1">#REF!</definedName>
    <definedName name="IQRSharePriceSnapshotFR11" hidden="1">#REF!</definedName>
    <definedName name="IQRSharePriceSnapshotFU11" hidden="1">#REF!</definedName>
    <definedName name="IQRSharePriceSnapshotI46" hidden="1">#REF!</definedName>
    <definedName name="IQRSharePriceSnapshotJ36" hidden="1">#REF!</definedName>
    <definedName name="IQRSharePriceSnapshotJ46" hidden="1">#REF!</definedName>
    <definedName name="IQRSharePriceSnapshotK36" hidden="1">#REF!</definedName>
    <definedName name="IQRSharePriceSnapshotL46" hidden="1">#REF!</definedName>
    <definedName name="IQRSharePriceSnapshotL47" hidden="1">#REF!</definedName>
    <definedName name="IQRSharePriceSnapshotLN4" hidden="1">#REF!</definedName>
    <definedName name="IQRSheet12A5" hidden="1">#REF!</definedName>
    <definedName name="IQRSheet12B5" hidden="1">#REF!</definedName>
    <definedName name="IQRSheet12M5" hidden="1">#REF!</definedName>
    <definedName name="IQRSheet12N5" hidden="1">#REF!</definedName>
    <definedName name="IQRSheet12O5" hidden="1">#REF!</definedName>
    <definedName name="IQRSheet12P5" hidden="1">#REF!</definedName>
    <definedName name="IQRSheet12Q5" hidden="1">#REF!</definedName>
    <definedName name="IQRSheet19B10" hidden="1">#REF!</definedName>
    <definedName name="IQRSheet19B11" hidden="1">#REF!</definedName>
    <definedName name="IQRSheet19B12" hidden="1">#REF!</definedName>
    <definedName name="IQRSheet19B13" hidden="1">#REF!</definedName>
    <definedName name="IQRSheet19B14" hidden="1">#REF!</definedName>
    <definedName name="IQRSheet19B15" hidden="1">#REF!</definedName>
    <definedName name="IQRSheet19B34" hidden="1">#REF!</definedName>
    <definedName name="IQRSheet19B4" hidden="1">#REF!</definedName>
    <definedName name="IQRSheet19B47" hidden="1">#REF!</definedName>
    <definedName name="IQRSheet19B48" hidden="1">#REF!</definedName>
    <definedName name="IQRSheet19B5" hidden="1">#REF!</definedName>
    <definedName name="IQRSheet19B51" hidden="1">#REF!</definedName>
    <definedName name="IQRSheet19B58" hidden="1">#REF!</definedName>
    <definedName name="IQRSheet19B6" hidden="1">#REF!</definedName>
    <definedName name="IQRSheet19B60" hidden="1">#REF!</definedName>
    <definedName name="IQRSheet19B62" hidden="1">#REF!</definedName>
    <definedName name="IQRSheet19B7" hidden="1">#REF!</definedName>
    <definedName name="IQRSheet19B8" hidden="1">#REF!</definedName>
    <definedName name="IQRSheet19B9" hidden="1">#REF!</definedName>
    <definedName name="IQRSheet19C33" hidden="1">#REF!</definedName>
    <definedName name="IQRSheet19C47" hidden="1">#REF!</definedName>
    <definedName name="IQRSheet19D33" hidden="1">#REF!</definedName>
    <definedName name="IQRSheet19D47" hidden="1">#REF!</definedName>
    <definedName name="IQRSheet19E22" hidden="1">#REF!</definedName>
    <definedName name="IQRSheet19E34" hidden="1">#REF!</definedName>
    <definedName name="IQRSheet19E35" hidden="1">#REF!</definedName>
    <definedName name="IQRSheet19E36" hidden="1">#REF!</definedName>
    <definedName name="IQRSheet19E47" hidden="1">#REF!</definedName>
    <definedName name="IQRSheet19E8" hidden="1">#REF!</definedName>
    <definedName name="IQRSheet19F11" hidden="1">#REF!</definedName>
    <definedName name="IQRSheet19F22" hidden="1">#REF!</definedName>
    <definedName name="IQRSheet19F35" hidden="1">#REF!</definedName>
    <definedName name="IQRSheet19F36" hidden="1">#REF!</definedName>
    <definedName name="IQRSheet19F48" hidden="1">#REF!</definedName>
    <definedName name="IQRSheet19F5" hidden="1">#REF!</definedName>
    <definedName name="IQRSheet19F59" hidden="1">#REF!</definedName>
    <definedName name="IQRSheet19F8" hidden="1">#REF!</definedName>
    <definedName name="IQRSheet19L60" hidden="1">#REF!</definedName>
    <definedName name="IQRSheet1A5" hidden="1">#REF!</definedName>
    <definedName name="IQRSheet1AP8" hidden="1">#REF!</definedName>
    <definedName name="IQRSheet1B5" hidden="1">#REF!</definedName>
    <definedName name="IQRSheet1BD13" hidden="1">#REF!</definedName>
    <definedName name="IQRSheet1BG13" hidden="1">#REF!</definedName>
    <definedName name="IQRSheet1BR8" hidden="1">#REF!</definedName>
    <definedName name="IQRSheet1BW8" hidden="1">#REF!</definedName>
    <definedName name="IQRSheet1C1" hidden="1">[9]Estimates!#REF!</definedName>
    <definedName name="IQRSheet1C11" hidden="1">CIQThunk!$C$12:$C$16</definedName>
    <definedName name="IQRSheet1C25" hidden="1">CIQThunk!$C$26</definedName>
    <definedName name="IQRSheet1C34" hidden="1">CIQThunk!$C$35:$C$44</definedName>
    <definedName name="IQRSheet1C47" hidden="1">CIQThunk!$C$48:$C$52</definedName>
    <definedName name="IQRSheet1C5" hidden="1">#REF!</definedName>
    <definedName name="IQRSheet1D3" hidden="1">#REF!</definedName>
    <definedName name="IQRSheet1D5" hidden="1">#REF!</definedName>
    <definedName name="IQRSheet1DF13" hidden="1">#REF!</definedName>
    <definedName name="IQRSheet1DI13" hidden="1">#REF!</definedName>
    <definedName name="IQRSheet1DK13" hidden="1">#REF!</definedName>
    <definedName name="IQRSheet1DN13" hidden="1">#REF!</definedName>
    <definedName name="IQRSheet1E5" hidden="1">#REF!</definedName>
    <definedName name="IQRSheet1F1" hidden="1">[9]Estimates!#REF!</definedName>
    <definedName name="IQRSheet1M5" hidden="1">#REF!</definedName>
    <definedName name="IQRSheet1N5" hidden="1">#REF!</definedName>
    <definedName name="IQRSheet1O5" hidden="1">#REF!</definedName>
    <definedName name="IQRSheet1P5" hidden="1">#REF!</definedName>
    <definedName name="IQRSheet24L3" hidden="1">#REF!</definedName>
    <definedName name="IQRSheet27B10" hidden="1">'[10]CIQ Segments'!$B$11:$B$20</definedName>
    <definedName name="IQRSheet27B25" hidden="1">'[10]CIQ Segments'!$B$26:$B$36</definedName>
    <definedName name="IQRSheet27C10" hidden="1">'[10]CIQ Segments'!$C$11:$C$20</definedName>
    <definedName name="IQRSheet27C25" hidden="1">'[10]CIQ Segments'!$C$26:$C$36</definedName>
    <definedName name="IQRSheet27D10" hidden="1">'[10]CIQ Segments'!$D$11:$D$20</definedName>
    <definedName name="IQRSheet27D25" hidden="1">'[10]CIQ Segments'!$D$26:$D$36</definedName>
    <definedName name="IQRSheet27E10" hidden="1">'[10]CIQ Segments'!$E$11:$E$20</definedName>
    <definedName name="IQRSheet27E25" hidden="1">'[10]CIQ Segments'!$E$26:$E$36</definedName>
    <definedName name="IQRSheet27F10" hidden="1">'[10]CIQ Segments'!$F$11:$F$20</definedName>
    <definedName name="IQRSheet27F25" hidden="1">'[10]CIQ Segments'!$F$26:$F$36</definedName>
    <definedName name="IQRSheet27G10" hidden="1">'[10]CIQ Segments'!$G$11:$G$20</definedName>
    <definedName name="IQRSheet27G25" hidden="1">'[10]CIQ Segments'!$G$26:$G$36</definedName>
    <definedName name="IQRSheet27H10" hidden="1">'[10]CIQ Segments'!$H$11:$H$20</definedName>
    <definedName name="IQRSheet27H25" hidden="1">'[10]CIQ Segments'!$H$26:$H$36</definedName>
    <definedName name="IQRSheet27I10" hidden="1">'[10]CIQ Segments'!$I$11:$I$20</definedName>
    <definedName name="IQRSheet27I25" hidden="1">'[10]CIQ Segments'!$I$26:$I$36</definedName>
    <definedName name="IQRSheet2A5" hidden="1">#REF!</definedName>
    <definedName name="IQRSheet2B5" hidden="1">#REF!</definedName>
    <definedName name="IQRSheet2BQ12" hidden="1">#REF!</definedName>
    <definedName name="IQRSheet2C5" hidden="1">#REF!</definedName>
    <definedName name="IQRSheet2D5" hidden="1">#REF!</definedName>
    <definedName name="IQRSheet30A5" hidden="1">#REF!</definedName>
    <definedName name="IQRSheet30M5" hidden="1">#REF!</definedName>
    <definedName name="IQRSheet30N5" hidden="1">#REF!</definedName>
    <definedName name="IQRSheet30O5" hidden="1">#REF!</definedName>
    <definedName name="IQRSheet30P5" hidden="1">#REF!</definedName>
    <definedName name="IQRSheet32C7" hidden="1">'[10]CIQ Key Developments'!$C$8:$C$36</definedName>
    <definedName name="IQRSheet38B16" hidden="1">#REF!</definedName>
    <definedName name="IQRSheet38B3" hidden="1">#REF!</definedName>
    <definedName name="IQRSheet38C16" hidden="1">#REF!</definedName>
    <definedName name="IQRSheet38C3" hidden="1">#REF!</definedName>
    <definedName name="IQRSheet38D16" hidden="1">#REF!</definedName>
    <definedName name="IQRSheet38D3" hidden="1">#REF!</definedName>
    <definedName name="IQRSheet38E16" hidden="1">#REF!</definedName>
    <definedName name="IQRSheet38E3" hidden="1">#REF!</definedName>
    <definedName name="IQRSheet3A1" hidden="1">#REF!</definedName>
    <definedName name="IQRSheet3A14" hidden="1">#REF!</definedName>
    <definedName name="IQRSheet3A15" hidden="1">#REF!</definedName>
    <definedName name="IQRSheet3A3" hidden="1">#REF!</definedName>
    <definedName name="IQRSheet3A9" hidden="1">#REF!</definedName>
    <definedName name="IQRSheet3AC7" hidden="1">#REF!</definedName>
    <definedName name="IQRSheet3AD7" hidden="1">#REF!</definedName>
    <definedName name="IQRSheet3AE7" hidden="1">#REF!</definedName>
    <definedName name="IQRSheet3AF7" hidden="1">#REF!</definedName>
    <definedName name="IQRSheet3AG7" hidden="1">#REF!</definedName>
    <definedName name="IQRSheet3AH7" hidden="1">#REF!</definedName>
    <definedName name="IQRSheet3AI7" hidden="1">#REF!</definedName>
    <definedName name="IQRSheet3AJ7" hidden="1">#REF!</definedName>
    <definedName name="IQRSheet3AK7" hidden="1">#REF!</definedName>
    <definedName name="IQRSheet3AL7" hidden="1">#REF!</definedName>
    <definedName name="IQRSheet3B1" hidden="1">#REF!</definedName>
    <definedName name="IQRSheet3B2" hidden="1">#REF!</definedName>
    <definedName name="IQRSheet3B3" hidden="1">#REF!</definedName>
    <definedName name="IQRSheet3B9" hidden="1">#REF!</definedName>
    <definedName name="IQRSheet3C1" hidden="1">#REF!</definedName>
    <definedName name="IQRSheet3C15" hidden="1">#REF!</definedName>
    <definedName name="IQRSheet3C2" hidden="1">#REF!</definedName>
    <definedName name="IQRSheet3D1" hidden="1">#REF!</definedName>
    <definedName name="IQRSheet3D11" hidden="1">#REF!</definedName>
    <definedName name="IQRSheet3D2" hidden="1">#REF!</definedName>
    <definedName name="IQRSheet3E1" hidden="1">#REF!</definedName>
    <definedName name="IQRSheet3F1" hidden="1">#REF!</definedName>
    <definedName name="IQRSheet3F14" hidden="1">#REF!</definedName>
    <definedName name="IQRSheet3G1" hidden="1">#REF!</definedName>
    <definedName name="IQRSheet3H1" hidden="1">#REF!</definedName>
    <definedName name="IQRSheet3I1" hidden="1">#REF!</definedName>
    <definedName name="IQRSheet3J1" hidden="1">#REF!</definedName>
    <definedName name="IQRSheet3K14" hidden="1">#REF!</definedName>
    <definedName name="IQRSheet3K21" hidden="1">#REF!</definedName>
    <definedName name="IQRSheet3N14" hidden="1">#REF!</definedName>
    <definedName name="IQRSheet3S12" hidden="1">#REF!</definedName>
    <definedName name="IQRSheet4B3" hidden="1">#REF!</definedName>
    <definedName name="IQRSheet4D8" hidden="1">#REF!</definedName>
    <definedName name="IQRSheet77B3" hidden="1">#REF!</definedName>
    <definedName name="IQRSheet77C3" hidden="1">#REF!</definedName>
    <definedName name="IQRSheet77C4" hidden="1">#REF!</definedName>
    <definedName name="IQRSheet77D3" hidden="1">#REF!</definedName>
    <definedName name="IQRSheet9J2" hidden="1">#REF!</definedName>
    <definedName name="IQRSNSECHILECTRABQ12" hidden="1">#REF!</definedName>
    <definedName name="IQRSourceTabBQ12" hidden="1">#REF!</definedName>
    <definedName name="IQRStockGraphAC7" hidden="1">#REF!</definedName>
    <definedName name="IQRStockGraphAD7" hidden="1">#REF!</definedName>
    <definedName name="IQRStockGraphAE7" hidden="1">#REF!</definedName>
    <definedName name="IQRStockGraphAF7" hidden="1">#REF!</definedName>
    <definedName name="IQRStockGraphAG7" hidden="1">#REF!</definedName>
    <definedName name="IQRStockGraphAH7" hidden="1">#REF!</definedName>
    <definedName name="IQRStockGraphAI7" hidden="1">#REF!</definedName>
    <definedName name="IQRStockGraphAJ7" hidden="1">#REF!</definedName>
    <definedName name="IQRStockGraphAK7" hidden="1">#REF!</definedName>
    <definedName name="IQRStockGraphAL7" hidden="1">#REF!</definedName>
    <definedName name="IQRStockGraphAV13" hidden="1">#REF!</definedName>
    <definedName name="IQRStockGraphS12" hidden="1">#REF!</definedName>
    <definedName name="IQRSWXABBNBQ12" hidden="1">#REF!</definedName>
    <definedName name="IQRSWXABBNBT12" hidden="1">#REF!</definedName>
    <definedName name="IQRSWXSCHNBQ12" hidden="1">#REF!</definedName>
    <definedName name="IQRSWXSCHNBT12" hidden="1">#REF!</definedName>
    <definedName name="IQRT7" hidden="1">"$T$8:$T$36"</definedName>
    <definedName name="IQRT8" hidden="1">"$T$9:$T$269"</definedName>
    <definedName name="IQRTSE2914BQ12" hidden="1">#REF!</definedName>
    <definedName name="IQRTSXAOIBQ12" hidden="1">#REF!</definedName>
    <definedName name="IQRU14" hidden="1">"$U$15:$U$114"</definedName>
    <definedName name="IQRU8" hidden="1">"$U$9:$U$60"</definedName>
    <definedName name="IQRUniqueBankrupticiesI1020" hidden="1">'[1]Score Analysis'!#REF!</definedName>
    <definedName name="IQRUniqueBankrupticiesI1021" hidden="1">'[1]Score Analysis'!#REF!</definedName>
    <definedName name="IQRValuationBU8" hidden="1">#REF!</definedName>
    <definedName name="IQRValuationCB8" hidden="1">#REF!</definedName>
    <definedName name="IQRValuationMultiplesBP8" hidden="1">#REF!</definedName>
    <definedName name="IQRValuationMultiplesBT8" hidden="1">#REF!</definedName>
    <definedName name="IQRValuationMultiplesBU8" hidden="1">'[11]Valuation &amp; Multiples'!$BU$9:$BU$269</definedName>
    <definedName name="IQRValuationMultiplesCB8" hidden="1">#REF!</definedName>
    <definedName name="IQRValuationMultiplesCC8" hidden="1">#REF!</definedName>
    <definedName name="IQRValuationMultiplesCD8" hidden="1">#REF!</definedName>
    <definedName name="IQRValuationMultiplesCE8" hidden="1">#REF!</definedName>
    <definedName name="IQRValuationMultiplesCF8" hidden="1">#REF!</definedName>
    <definedName name="IQRValuationMultiplesCG8" hidden="1">#REF!</definedName>
    <definedName name="IQRValuationMultiplesCH8" hidden="1">#REF!</definedName>
    <definedName name="IQRValuationMultiplesCI8" hidden="1">#REF!</definedName>
    <definedName name="IQRValuationMultiplesCJ8" hidden="1">'[11]Valuation &amp; Multiples'!$CJ$9:$CJ$60</definedName>
    <definedName name="IQRValuationMultiplesEG8" hidden="1">#REF!</definedName>
    <definedName name="IQRValuationMultiplesEK8" hidden="1">#REF!</definedName>
    <definedName name="IQRValuationMultiplesEL8" hidden="1">'[11]Valuation &amp; Multiples'!$EL$9:$EL$269</definedName>
    <definedName name="IQRValuationMultiplesEP8" hidden="1">#REF!</definedName>
    <definedName name="IQRValuationMultiplesEQ8" hidden="1">'[11]Valuation &amp; Multiples'!$EQ$9:$EQ$60</definedName>
    <definedName name="IQRVAVPAB6" hidden="1">#REF!</definedName>
    <definedName name="IQRVAVPAC6" hidden="1">#REF!</definedName>
    <definedName name="IQRVAVPAC8" hidden="1">#REF!</definedName>
    <definedName name="IQRVAVPAD6" hidden="1">#REF!</definedName>
    <definedName name="IQRVAVPAF6" hidden="1">#REF!</definedName>
    <definedName name="IQRVAVPAG8" hidden="1">#REF!</definedName>
    <definedName name="IQRVAVPAK6" hidden="1">#REF!</definedName>
    <definedName name="IQRVAVPAL6" hidden="1">#REF!</definedName>
    <definedName name="IQRVAVPAN6" hidden="1">#REF!</definedName>
    <definedName name="IQRVAVPAO6" hidden="1">#REF!</definedName>
    <definedName name="IQRVAVPAO8" hidden="1">#REF!</definedName>
    <definedName name="IQRVAVPAQ6" hidden="1">#REF!</definedName>
    <definedName name="IQRVAVPAQ7" hidden="1">#REF!</definedName>
    <definedName name="IQRVAVPAQ8" hidden="1">#REF!</definedName>
    <definedName name="IQRVAVPAR6" hidden="1">#REF!</definedName>
    <definedName name="IQRVAVPAS6" hidden="1">#REF!</definedName>
    <definedName name="IQRVAVPAT6" hidden="1">#REF!</definedName>
    <definedName name="IQRVAVPAU6" hidden="1">#REF!</definedName>
    <definedName name="IQRVAVPAU7" hidden="1">#REF!</definedName>
    <definedName name="IQRVAVPAU8" hidden="1">#REF!</definedName>
    <definedName name="IQRVAVPAV6" hidden="1">#REF!</definedName>
    <definedName name="IQRVAVPAW6" hidden="1">#REF!</definedName>
    <definedName name="IQRVAVPAW8" hidden="1">#REF!</definedName>
    <definedName name="IQRVAVPAZ6" hidden="1">#REF!</definedName>
    <definedName name="IQRVAVPBC6" hidden="1">#REF!</definedName>
    <definedName name="IQRVAVPBC7" hidden="1">#REF!</definedName>
    <definedName name="IQRVAVPBC8" hidden="1">#REF!</definedName>
    <definedName name="IQRVAVPBE102" hidden="1">#REF!</definedName>
    <definedName name="IQRVAVPBE141" hidden="1">#REF!</definedName>
    <definedName name="IQRVAVPBE6" hidden="1">#REF!</definedName>
    <definedName name="IQRVAVPBG8" hidden="1">[6]VAVP!$BG$9:$BG$165</definedName>
    <definedName name="IQRVAVPBH6" hidden="1">#REF!</definedName>
    <definedName name="IQRVAVPBK6" hidden="1">#REF!</definedName>
    <definedName name="IQRVAVPBK7" hidden="1">#REF!</definedName>
    <definedName name="IQRVAVPBK8" hidden="1">#REF!</definedName>
    <definedName name="IQRVAVPBM60" hidden="1">[12]VAVP!$BM$61:$BM$112</definedName>
    <definedName name="IQRVAVPBQ8" hidden="1">[6]VAVP!$BQ$9:$BQ$60</definedName>
    <definedName name="IQRVAVPC8" hidden="1">#REF!</definedName>
    <definedName name="IQRVAVPCI13" hidden="1">#REF!</definedName>
    <definedName name="IQRVAVPEK13" hidden="1">#REF!</definedName>
    <definedName name="IQRVAVPEP13" hidden="1">#REF!</definedName>
    <definedName name="IQRVAVPQ4" hidden="1">#REF!</definedName>
    <definedName name="IQRVAVPQ6" hidden="1">#REF!</definedName>
    <definedName name="IQRVAVPQ7" hidden="1">#REF!</definedName>
    <definedName name="IQRVAVPQ8" hidden="1">#REF!</definedName>
    <definedName name="IQRVAVPR4" hidden="1">#REF!</definedName>
    <definedName name="IQRVAVPT11" hidden="1">#REF!</definedName>
    <definedName name="IQRVAVPT13" hidden="1">#REF!</definedName>
    <definedName name="IQRVAVPT4" hidden="1">#REF!</definedName>
    <definedName name="IQRVAVPU13" hidden="1">#REF!</definedName>
    <definedName name="IQRVAVPY6" hidden="1">#REF!</definedName>
    <definedName name="IQRVAVPZ6" hidden="1">#REF!</definedName>
    <definedName name="IQRVitalFewPeersG20" hidden="1">#REF!</definedName>
    <definedName name="IQRW14" hidden="1">"$W$15:$W$114"</definedName>
    <definedName name="IQRX8" hidden="1">"$X$9:$X$61"</definedName>
    <definedName name="IQRY11" hidden="1">"$Y$12"</definedName>
    <definedName name="IQRY14" hidden="1">"$Y$15:$Y$114"</definedName>
    <definedName name="IQRY8" hidden="1">"$Y$9:$Y$61"</definedName>
    <definedName name="Key_Dev">#REF!</definedName>
    <definedName name="Key_Professional">#REF!</definedName>
    <definedName name="Key_Professional_Index">#REF!</definedName>
    <definedName name="KeyFinEnd_Fin">#REF!</definedName>
    <definedName name="KeyFinEnd_NonFin">#REF!</definedName>
    <definedName name="KeyFinStart_Fin">#REF!</definedName>
    <definedName name="KeyFinStart_NonFin">#REF!</definedName>
    <definedName name="Legal_Advisor">#REF!</definedName>
    <definedName name="metric">#REF!</definedName>
    <definedName name="News_Category">#REF!</definedName>
    <definedName name="nQuartile">#REF!</definedName>
    <definedName name="NumberOfPeers">#REF!</definedName>
    <definedName name="NumberOfPeriods">#REF!</definedName>
    <definedName name="PeerAnalysisChartType_Fin">#REF!</definedName>
    <definedName name="PeerAnalysisChartType_NonFin">#REF!</definedName>
    <definedName name="PeerAnalysisCompanyChartData_Fin">#REF!</definedName>
    <definedName name="PeerAnalysisCompanyChartData_NonFin">#REF!</definedName>
    <definedName name="PeerData_Fin">#REF!</definedName>
    <definedName name="PeerData_NonFin">#REF!</definedName>
    <definedName name="Peers_Input">#REF!</definedName>
    <definedName name="pMaxHeight">#REF!</definedName>
    <definedName name="pMaxWidth">#REF!</definedName>
    <definedName name="PriceData">#REF!</definedName>
    <definedName name="PriceStartDate">#REF!</definedName>
    <definedName name="ProfileType">#REF!</definedName>
    <definedName name="ShortName">#REF!</definedName>
    <definedName name="StartingCompanyQuarter">#REF!</definedName>
    <definedName name="StartingCompanyYear">#REF!</definedName>
    <definedName name="StartingQuarter">#REF!</definedName>
    <definedName name="StartingYear">#REF!</definedName>
    <definedName name="StartPeriod">#REF!</definedName>
    <definedName name="SummaryPeers">#REF!</definedName>
    <definedName name="Target">#REF!</definedName>
    <definedName name="TargetIndustry">#REF!</definedName>
    <definedName name="TimePeriodType">#REF!</definedName>
    <definedName name="Transaction_closed">#REF!</definedName>
    <definedName name="Transaction_star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40" i="1783" l="1" a="1"/>
  <c r="H40" i="1783"/>
  <c r="G41" i="1783" a="1"/>
  <c r="G41" i="1783"/>
  <c r="D36" i="1783" a="1"/>
  <c r="D36" i="1783"/>
  <c r="H36" i="1783" a="1"/>
  <c r="H36" i="1783"/>
  <c r="G37" i="1783" a="1"/>
  <c r="G37" i="1783"/>
  <c r="F38" i="1783" a="1"/>
  <c r="F38" i="1783"/>
  <c r="E39" i="1783" a="1"/>
  <c r="E39" i="1783"/>
  <c r="D40" i="1783" a="1"/>
  <c r="D40" i="1783"/>
  <c r="D43" i="1783" a="1"/>
  <c r="D43" i="1783"/>
  <c r="H43" i="1783" a="1"/>
  <c r="H43" i="1783"/>
  <c r="G44" i="1783" a="1"/>
  <c r="G44" i="1783"/>
  <c r="D44" i="1783" a="1"/>
  <c r="D44" i="1783"/>
  <c r="F42" i="1783" a="1"/>
  <c r="F42" i="1783"/>
  <c r="E35" i="1783" a="1"/>
  <c r="E35" i="1783"/>
  <c r="E38" i="1783" a="1"/>
  <c r="E38" i="1783"/>
  <c r="D39" i="1783" a="1"/>
  <c r="D39" i="1783"/>
  <c r="H39" i="1783" a="1"/>
  <c r="H39" i="1783"/>
  <c r="G40" i="1783" a="1"/>
  <c r="G40" i="1783"/>
  <c r="F41" i="1783" a="1"/>
  <c r="F41" i="1783"/>
  <c r="E42" i="1783" a="1"/>
  <c r="E42" i="1783"/>
  <c r="G43" i="1783" a="1"/>
  <c r="G43" i="1783"/>
  <c r="E43" i="1783" a="1"/>
  <c r="E43" i="1783"/>
  <c r="D35" i="1783" a="1"/>
  <c r="D35" i="1783"/>
  <c r="H35" i="1783" a="1"/>
  <c r="H35" i="1783"/>
  <c r="G36" i="1783" a="1"/>
  <c r="G36" i="1783"/>
  <c r="F37" i="1783" a="1"/>
  <c r="F37" i="1783"/>
  <c r="D38" i="1783" a="1"/>
  <c r="D38" i="1783"/>
  <c r="H38" i="1783" a="1"/>
  <c r="H38" i="1783"/>
  <c r="G39" i="1783" a="1"/>
  <c r="G39" i="1783"/>
  <c r="E41" i="1783" a="1"/>
  <c r="E41" i="1783"/>
  <c r="D42" i="1783" a="1"/>
  <c r="D42" i="1783"/>
  <c r="H42" i="1783" a="1"/>
  <c r="H42" i="1783"/>
  <c r="F40" i="1783" a="1"/>
  <c r="F40" i="1783"/>
  <c r="F44" i="1783" a="1"/>
  <c r="F44" i="1783"/>
  <c r="H44" i="1783" a="1"/>
  <c r="H44" i="1783"/>
  <c r="G35" i="1783" a="1"/>
  <c r="G35" i="1783"/>
  <c r="F36" i="1783" a="1"/>
  <c r="F36" i="1783"/>
  <c r="E37" i="1783" a="1"/>
  <c r="E37" i="1783"/>
  <c r="E40" i="1783" a="1"/>
  <c r="E40" i="1783"/>
  <c r="D41" i="1783" a="1"/>
  <c r="D41" i="1783"/>
  <c r="H41" i="1783" a="1"/>
  <c r="H41" i="1783"/>
  <c r="G42" i="1783" a="1"/>
  <c r="G42" i="1783"/>
  <c r="F43" i="1783" a="1"/>
  <c r="F43" i="1783"/>
  <c r="E44" i="1783" a="1"/>
  <c r="E44" i="1783"/>
  <c r="F35" i="1783" a="1"/>
  <c r="F35" i="1783"/>
  <c r="E36" i="1783" a="1"/>
  <c r="E36" i="1783"/>
  <c r="D37" i="1783" a="1"/>
  <c r="D37" i="1783"/>
  <c r="H37" i="1783" a="1"/>
  <c r="H37" i="1783"/>
  <c r="G38" i="1783" a="1"/>
  <c r="G38" i="1783"/>
  <c r="F39" i="1783" a="1"/>
  <c r="F39" i="1783"/>
  <c r="F47" i="1783" a="1"/>
  <c r="G47" i="1783" a="1"/>
  <c r="G47" i="1783" l="1"/>
  <c r="F47" i="1783"/>
  <c r="C47" i="1783" a="1"/>
  <c r="C37" i="1783" a="1"/>
  <c r="C41" i="1783" a="1"/>
  <c r="C35" i="1783" a="1"/>
  <c r="C25" i="1783" a="1"/>
  <c r="G26" i="1783" a="1"/>
  <c r="H26" i="1783" a="1"/>
  <c r="E47" i="1783" a="1"/>
  <c r="E26" i="1783" a="1"/>
  <c r="C40" i="1783" a="1"/>
  <c r="C42" i="1783" a="1"/>
  <c r="D47" i="1783" a="1"/>
  <c r="C38" i="1783" a="1"/>
  <c r="B27" i="1783"/>
  <c r="C43" i="1783" a="1"/>
  <c r="C39" i="1783" a="1"/>
  <c r="B28" i="1783"/>
  <c r="D26" i="1783" a="1"/>
  <c r="B31" i="1783"/>
  <c r="C36" i="1783" a="1"/>
  <c r="B33" i="1783"/>
  <c r="B32" i="1783"/>
  <c r="C44" i="1783" a="1"/>
  <c r="F26" i="1783" a="1"/>
  <c r="B29" i="1783" a="1"/>
  <c r="F26" i="1783" l="1"/>
  <c r="C44" i="1783"/>
  <c r="C36" i="1783"/>
  <c r="D26" i="1783"/>
  <c r="C39" i="1783"/>
  <c r="C43" i="1783"/>
  <c r="C38" i="1783"/>
  <c r="D47" i="1783"/>
  <c r="C42" i="1783"/>
  <c r="C40" i="1783"/>
  <c r="E26" i="1783"/>
  <c r="E47" i="1783"/>
  <c r="H26" i="1783"/>
  <c r="G26" i="1783"/>
  <c r="C25" i="1783"/>
  <c r="C26" i="1783" s="1"/>
  <c r="C35" i="1783"/>
  <c r="C41" i="1783"/>
  <c r="C37" i="1783"/>
  <c r="C47" i="1783"/>
  <c r="B29" i="1783"/>
  <c r="B30" i="1783"/>
  <c r="B52" i="1783"/>
  <c r="B63" i="1783"/>
  <c r="B57" i="1783"/>
  <c r="B60" i="1783" l="1"/>
  <c r="D62" i="1783" s="1"/>
  <c r="B58" i="1783"/>
  <c r="B59" i="1783" s="1"/>
  <c r="B53" i="1783"/>
  <c r="G62" i="1783"/>
  <c r="B64" i="1783"/>
  <c r="B66" i="1783"/>
  <c r="C62" i="1783" l="1"/>
  <c r="B62" i="1783"/>
  <c r="B61" i="1783" s="1"/>
  <c r="B65" i="1783"/>
  <c r="F62" i="1783" s="1"/>
  <c r="B54" i="1783"/>
  <c r="B55" i="1783" s="1"/>
  <c r="B56" i="1783"/>
  <c r="F61" i="1783" l="1"/>
  <c r="H62" i="1783"/>
  <c r="E62" i="1783"/>
  <c r="C61" i="1783"/>
  <c r="D61" i="1783" l="1"/>
  <c r="C60" i="1783"/>
  <c r="E61" i="1783"/>
  <c r="F60" i="1783"/>
  <c r="G61" i="1783"/>
  <c r="H61" i="1783" s="1"/>
  <c r="G60" i="1783" l="1"/>
  <c r="H60" i="1783"/>
  <c r="F59" i="1783"/>
  <c r="D60" i="1783"/>
  <c r="E60" i="1783"/>
  <c r="C59" i="1783"/>
  <c r="D59" i="1783" l="1"/>
  <c r="C58" i="1783"/>
  <c r="E59" i="1783"/>
  <c r="G59" i="1783"/>
  <c r="H59" i="1783"/>
  <c r="F58" i="1783"/>
  <c r="G58" i="1783" l="1"/>
  <c r="H58" i="1783" s="1"/>
  <c r="F57" i="1783"/>
  <c r="C57" i="1783"/>
  <c r="D58" i="1783"/>
  <c r="E58" i="1783" s="1"/>
  <c r="H57" i="1783" l="1"/>
  <c r="F56" i="1783"/>
  <c r="G57" i="1783"/>
  <c r="C56" i="1783"/>
  <c r="D57" i="1783"/>
  <c r="E57" i="1783" s="1"/>
  <c r="C55" i="1783" l="1"/>
  <c r="D56" i="1783"/>
  <c r="E56" i="1783"/>
  <c r="F55" i="1783"/>
  <c r="G56" i="1783"/>
  <c r="H56" i="1783"/>
  <c r="F54" i="1783" l="1"/>
  <c r="G55" i="1783"/>
  <c r="H55" i="1783" s="1"/>
  <c r="D55" i="1783"/>
  <c r="E55" i="1783"/>
  <c r="C54" i="1783"/>
  <c r="D54" i="1783" l="1"/>
  <c r="C53" i="1783"/>
  <c r="E54" i="1783"/>
  <c r="F53" i="1783"/>
  <c r="G54" i="1783"/>
  <c r="H54" i="1783"/>
  <c r="G53" i="1783" l="1"/>
  <c r="F52" i="1783"/>
  <c r="H53" i="1783"/>
  <c r="D53" i="1783"/>
  <c r="E53" i="1783"/>
  <c r="C52" i="1783"/>
  <c r="D52" i="1783" l="1"/>
  <c r="E52" i="1783"/>
  <c r="C51" i="1783"/>
  <c r="G52" i="1783"/>
  <c r="F51" i="1783"/>
  <c r="H52" i="1783"/>
  <c r="G51" i="1783" l="1"/>
  <c r="H51" i="1783"/>
  <c r="F63" i="1783" s="1"/>
  <c r="D51" i="1783"/>
  <c r="E51" i="1783" s="1"/>
  <c r="C63" i="178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<sst xmlns="http://schemas.openxmlformats.org/spreadsheetml/2006/main" count="69" uniqueCount="62">
  <si>
    <t>Period</t>
  </si>
  <si>
    <t>Ticker Symbol</t>
  </si>
  <si>
    <t>Proposed Ticker Symbol</t>
  </si>
  <si>
    <t>Currency (Filing)</t>
  </si>
  <si>
    <t>Currency (Trading)</t>
  </si>
  <si>
    <t>Date</t>
  </si>
  <si>
    <t>Company Name</t>
  </si>
  <si>
    <t>Sector</t>
  </si>
  <si>
    <t>Industry</t>
  </si>
  <si>
    <t>Country</t>
  </si>
  <si>
    <t>Peers To Find</t>
  </si>
  <si>
    <t>Peer 1</t>
  </si>
  <si>
    <t>Peer 2</t>
  </si>
  <si>
    <t>Peer 3</t>
  </si>
  <si>
    <t>Peer 4</t>
  </si>
  <si>
    <t>Peer 5</t>
  </si>
  <si>
    <t>Peer 6</t>
  </si>
  <si>
    <t>Peer 7</t>
  </si>
  <si>
    <t>Peer 8</t>
  </si>
  <si>
    <t>Peer 9</t>
  </si>
  <si>
    <t>Peer 10</t>
  </si>
  <si>
    <t>Market Cap</t>
  </si>
  <si>
    <t>Revenue</t>
  </si>
  <si>
    <t>Net Profit</t>
  </si>
  <si>
    <t>Employees</t>
  </si>
  <si>
    <t>NYSE:A</t>
  </si>
  <si>
    <t>Time Period Type</t>
  </si>
  <si>
    <t>Actual Time Period Count</t>
  </si>
  <si>
    <t>Q End Period  --  B15</t>
  </si>
  <si>
    <t>Q End Month  --  B16</t>
  </si>
  <si>
    <t>Q End Quarter  --  B17</t>
  </si>
  <si>
    <t>Q End Year  --  B18</t>
  </si>
  <si>
    <t>Q Start Period  --  B10</t>
  </si>
  <si>
    <t>Time Period Count -- B8</t>
  </si>
  <si>
    <t>Q Start Month  --  B11</t>
  </si>
  <si>
    <t>Q Start Quarter  --  B12</t>
  </si>
  <si>
    <t>Q Start Year  --  B13</t>
  </si>
  <si>
    <t>A Start Year  --  B28</t>
  </si>
  <si>
    <t>A End Year  --  B29</t>
  </si>
  <si>
    <t>Calendar Periods</t>
  </si>
  <si>
    <t>Quarter</t>
  </si>
  <si>
    <t>Year</t>
  </si>
  <si>
    <t>Fiscal Periods</t>
  </si>
  <si>
    <t>F End Period -- B35</t>
  </si>
  <si>
    <t>F End Month -- B36</t>
  </si>
  <si>
    <t>F End Quarter -- B37</t>
  </si>
  <si>
    <t>F End Year -- B38</t>
  </si>
  <si>
    <t>Quarters</t>
  </si>
  <si>
    <t>NYSE:WMT</t>
  </si>
  <si>
    <t>BAABTANVU0QBSP////8BUFAAAAAhQ0lRLk5ZU0U6QS5JUV9QRVJJT0REQVRFX0JTLjEwMDAuAQAAACxdAgAFAAAACjEwLzMxLzIwMjEAmcpBvpgN2gjwLmm/mA3aCCBDSVEuTllTRTpBLklRX1BFUklPRERBVEVfQlMuNTAwLgEAAAAsXQIABQAAAAkxLzMxLzIwMjIAb/FBvpgN2gjwLmm/mA3aCClDSVEuTllTRTpBLklRX1BFUklPRERBVEVfQlMuNTAwLjMvMjQvMjAyMgEAAAAsXQIABQAAAAkxLzMxLzIwMjIALbY7v5gN2gjofGm/mA3aCCpDSVEuTllTRTpBLklRX1BFUklPRERBVEVfQlMuMTAwMC4zLzI0LzIwMjIBAAAALF0CAAUAAAAKMTAvMzEvMjAyMQAttju/mA3aCOh8ab+YDdoIHENJUS5OWVNFOldNVC5JUV9RVUlDS19DT01QLjEBAAAA38YEAAMAAAANTmFzZGFxR1M6Q09TVAAttju/mA3aCPAuab+YDdoIHENJUS5OWVNFOldNVC5JUV9RVUlDS19DT01QLjIBAAAA38YEAAMAAAAITllTRTpUR1QALbY7v5gN2gj/VWm/mA3aCBxDSVEuTllTRTpXTVQuSVFfUVVJQ0tfQ09NUC4zAQAAAN/GBAADAAAAB05ZU0U6QkoALbY7v5gN2gjwLmm/mA3aCBxDSVEuTllTRTpXTVQuSVFfUVVJQ0tfQ09NUC40AQAAAN/GBAADAAAAB05ZU0U6S1IALbY7v5gN2gj/VWm/mA3aCBxDSVEuTllTRTpXTVQuSVFfUVVJQ0tfQ09NUC41AQAAAN/GBAADAAAACE5ZU0U6QkJZAC22O7+YDdoI/1Vpv5gN2ggcQ0lRLk5ZU0U6V01U</t>
  </si>
  <si>
    <t>LklRX1FVSUNLX0NPTVAuNgEAAADfxgQAAwAAAA1OYXNkYXFHUzpQU01UAC22O7+YDdoI8C5pv5gN2ggcQ0lRLk5ZU0U6V01ULklRX1FVSUNLX0NPTVAuNwEAAADfxgQAAwAAAAlFTlhUUEE6Q0EALbY7v5gN2gjwLmm/mA3aCBxDSVEuTllTRTpXTVQuSVFfUVVJQ0tfQ09NUC44AQAAAN/GBAADAAAACExTRTpPS0VZAC22O7+YDdoI8C5pv5gN2ggcQ0lRLk5ZU0U6V01ULklRX1FVSUNLX0NPTVAuOQEAAADfxgQAAwAAAA1CTVY6U09SSUFOQSBCAC22O7+YDdoI/1Vpv5gN2ggdQ0lRLk5ZU0U6V01ULklRX1FVSUNLX0NPTVAuMTABAAAA38YEAAMAAAAISURYOk1QUEEALbY7v5gN2gj/VWm/mA3aCB9DSVEuTllTRTpXTVQuSVFfSU5EVVNUUllfU0VDVE9SAQAAAN/GBAADAAAAEENvbnN1bWVyIFN0YXBsZXMALbY7v5gN2gj/VWm/mA3aCCBDSVEuTllTRTpXTVQuSVFfUFJJTUFSWV9JTkRVU1RSWQEAAADfxgQAAwAAAB5IeXBlcm1hcmtldHMgYW5kIFN1cGVyIENlbnRlcnMALbY7v5gN2gj/VWm/mA3aCB5DSVEuTllTRTpXTVQuSVFfQ09NUEFOWV9USUNLRVIBAAAA38YEAAMAAAAITllTRTpXTVQALbY7v5gN2gjwLmm/mA3aCBxDSVEuTllTRTpXTVQuSVFfQ09NUEFOWV9OQU1FAQAAAN/GBAADAAAADFdhbG1hcnQgSW5jLgAttju/mA3aCP9Vab+YDdoIGUNJUS5OWVNFOldNVC5JUV9FTVBMT1lFRVMBAAAA38YEAAEA</t>
  </si>
  <si>
    <t>AAAHMjMwMDAwMAAttju/mA3aCPAuab+YDdoIHENJUS5OWVNFOldNVC5JUV9DT1VOVFJZX05BTUUBAAAA38YEAAMAAAANVW5pdGVkIFN0YXRlcwAttju/mA3aCP9Vab+YDdoIGkNJUS5OWVNFOkEuSVFfQ09NUEFOWV9OQU1FAQAAACxdAgADAAAAGkFnaWxlbnQgVGVjaG5vbG9naWVzLCBJbmMuAC22O7+YDdoI8C5pv5gN2ggXQ0lRLk5ZU0U6QS5JUV9FTVBMT1lFRVMBAAAALF0CAAEAAAAFMTcyMDAALbY7v5gN2gjwLmm/mA3aCBlDSVEuTllTRTpXTVQuSVFfVE9UQUxfUkVWAQAAAN/GBAACAAAABjU3Mjc1NAEIAAAABQAAAAExAQAAAAstMjEwNzY4NjAwOAMAAAADMTYwAgAAAAIyOAQAAAABMAcAAAAJMy8yNC8yMDIyCAAAAAkxLzMxLzIwMjIJAAAAATAttju/mA3aCP9Vab+YDdoIEkNJUS5OWVNFOldNVC5JUV9OSQEAAADfxgQAAgAAAAUxMzY3MwEIAAAABQAAAAExAQAAAAstMjEwNzY4NjAwOAMAAAADMTYwAgAAAAIxNQQAAAABMAcAAAAJMy8yNC8yMDIyCAAAAAkxLzMxLzIwMjIJAAAAATAttju/mA3aCPAuab+YDdoIH0NJUS5OWVNFOldNVC5JUV9GSUxJTkdfQ1VSUkVOQ1kBAAAA38YEAAMAAAADVVNEAC22O7+YDdoI/1Vpv5gN2ggXQ0lRLk5ZU0U6QS5JUV9UT1RBTF9SRVYBAAAALF0CAAIAAAAENjQ0NQEIAAAABQAAAAExAQAAAAstMjEwOTYyODUzMAMAAAADMTYwAgAAAAIyOAQAAAABMAcAAAAJMy8y</t>
  </si>
  <si>
    <t>NC8yMDIyCAAAAAkxLzMxLzIwMjIJAAAAATAttju/mA3aCPAuab+YDdoIEENJUS5OWVNFOkEuSVFfTkkBAAAALF0CAAIAAAAEMTIwNQEIAAAABQAAAAExAQAAAAstMjEwOTYyODUzMAMAAAADMTYwAgAAAAIxNQQAAAABMAcAAAAJMy8yNC8yMDIyCAAAAAkxLzMxLzIwMjIJAAAAATAttju/mA3aCPAuab+YDdoIGUNJUS5OWVNFOldNVC5JUV9NQVJLRVRDQVABAAAA38YEAAIAAAANMzkwNjE1LjExODMzNwEGAAAABQAAAAExAQAAAAstMjEwNzY4NjAxMAMAAAADMTYwAgAAAAYxMDAwNTQEAAAAATAHAAAACTMvMjMvMjAyMi22O7+YDdoI8C5pv5gN2gggQ0lRLk5ZU0U6V01ULklRX1RSQURJTkdfQ1VSUkVOQ1kBAAAA38YEAAMAAAADVVNEAC22O7+YDdoI/1Vpv5gN2ggXQ0lRLk5ZU0U6QS5JUV9NQVJLRVRDQVABAAAALF0CAAIAAAAMNDAyNjkuMjEyOTI2AQYAAAAFAAAAATEBAAAACy0yMTA5NjMwNzAxAwAAAAMxNjACAAAABjEwMDA1NAQAAAABMAcAAAAJMy8yMy8yMDIyLbY7v5gN2gjwLmm/mA3aCBtDSVEuTllTRTpCSi5JUV9DT01QQU5ZX05BTUUBAAAAY43jDgMAAAAiQkoncyBXaG9sZXNhbGUgQ2x1YiBIb2xkaW5ncywgSW5jLgCRcoq/mA3aCNsisL+YDdoIGENJUS5OWVNFOkJKLklRX0VNUExPWUVFUwEAAABjjeMOAQAAAAUzNDAwMACRcoq/mA3aCNsisL+YDdoIHUNJUS5FTlhUUEE6Q0EuSVFfQ09NUEFO</t>
  </si>
  <si>
    <t>WV9OQU1FAQAAAPZlAQADAAAADENhcnJlZm91ciBTQQCRcoq/mA3aCLnUr7+YDdoIGkNJUS5FTlhUUEE6Q0EuSVFfRU1QTE9ZRUVTAQAAAPZlAQABAAAABjMxOTU2NQCRcoq/mA3aCLnUr7+YDdoIGUNJUS5JRFg6TVBQQS5JUV9FTVBMT1lFRVMBAAAAEWcNAAEAAAAEODMyMACRcoq/mA3aCNqtr7+YDdoIG0NJUS5OWVNFOktSLklRX0NPTVBBTllfTkFNRQEAAAC2VgQAAwAAAA5UaGUgS3JvZ2VyIENvLgCRcoq/mA3aCDuHr7+YDdoIGENJUS5OWVNFOktSLklRX0VNUExPWUVFUwEAAAC2VgQAAQAAAAY1MDAwMDAAkXKKv5gN2gg7h6+/mA3aCBxDSVEuTFNFOk9LRVkuSVFfQ09NUEFOWV9OQU1FAQAAAG+sfwEDAAAAEE8nS2V5IEdyb3VwIFMuQS4AkXKKv5gN2gg7h6+/mA3aCBlDSVEuTFNFOk9LRVkuSVFfRU1QTE9ZRUVTAQAAAG+sfwEBAAAABTIwMDAwAJFyir+YDdoI2q2vv5gN2gghQ0lRLk5BU0RBUUdTOkNPU1QuSVFfQ09NUEFOWV9OQU1FAQAAAJFqAQADAAAAHENvc3RjbyBXaG9sZXNhbGUgQ29ycG9yYXRpb24AkXKKv5gN2giNX6+/mA3aCB5DSVEuTkFTREFRR1M6Q09TVC5JUV9FTVBMT1lFRVMBAAAAkWoBAAEAAAAGMjg4MDAwAJFyir+YDdoIjV+vv5gN2ggcQ0lRLk5ZU0U6QkJZLklRX0NPTVBBTllfTkFNRQEAAACl5QMAAwAAABJCZXN0IEJ1eSBDby4sIEluYy4AkXKKv5gN2gjYOK+/mA3aCBlDSVEu</t>
  </si>
  <si>
    <t>TllTRTpCQlkuSVFfRU1QTE9ZRUVTAQAAAKXlAwABAAAABTc2MTI1AJFyir+YDdoI2Divv5gN2gghQ0lRLkJNVjpTT1JJQU5BIEIuSVFfQ09NUEFOWV9OQU1FAQAAAKllDQADAAAAKE9yZ2FuaXphY2nDs24gU29yaWFuYSwgUy4gQS4gQi4gZGUgQy4gVi4AkXKKv5gN2gjz6q6/mA3aCB5DSVEuQk1WOlNPUklBTkEgQi5JUV9FTVBMT1lFRVMBAAAAqWUNAAEAAAAFODQ5MTQAkXKKv5gN2gi9Ea+/mA3aCBxDSVEuSURYOk1QUEEuSVFfQ09NUEFOWV9OQU1FAQAAABFnDQADAAAAG1BUIE1hdGFoYXJpIFB1dHJhIFByaW1hIFRiawCRcoq/mA3aCL0Rr7+YDdoIHENJUS5OWVNFOlRHVC5JUV9DT01QQU5ZX05BTUUBAAAAZqkCAAMAAAASVGFyZ2V0IENvcnBvcmF0aW9uAJFyir+YDdoIVMOuv5gN2ggZQ0lRLk5ZU0U6VEdULklRX0VNUExPWUVFUwEAAABmqQIAAQAAAAY0NTAwMDAAkXKKv5gN2ghUw66/mA3aCCFDSVEuTkFTREFRR1M6UFNNVC5JUV9DT01QQU5ZX05BTUUBAAAACcEFAAMAAAAQUHJpY2VTbWFydCwgSW5jLgCRcoq/mA3aCPPqrr+YDdoIHkNJUS5OQVNEQVFHUzpQU01ULklRX0VNUExPWUVFUwEAAAAJwQUAAQAAAAUxMDQwMACRcoq/mA3aCFTDrr+YDdoIHkNJUS5OQVNEQVFHUzpDT1NULklRX1RPVEFMX1JFVgEAAACRagEAAgAAAAYyMTAyMTkBCAAAAAUAAAABMQEAAAALLTIxMDg4NTUzNDgDAAAAAzE2</t>
  </si>
  <si>
    <t>MAIAAAACMjgEAAAAATAHAAAACTMvMjQvMjAyMggAAAAJMi8xMy8yMDIyCQAAAAEwkXKKv5gN2gjM+6+/mA3aCBFDSVEuTllTRTpLUi5JUV9OSQEAAAC2VgQAAgAAAAQxNjU1AQgAAAAFAAAAATEBAAAACy0yMTA5NzYyNDMyAwAAAAMxNjACAAAAAjE1BAAAAAEwBwAAAAkzLzI0LzIwMjIIAAAACTEvMjkvMjAyMgkAAAABMJFyir+YDdoI2yKwv5gN2ggZQ0lRLk5ZU0U6QkJZLklRX1RPVEFMX1JFVgEAAACl5QMAAgAAAAU1MTc2MQEIAAAABQAAAAExAQAAAAstMjEwNzY3NDk5NQMAAAADMTYwAgAAAAIyOAQAAAABMAcAAAAJMy8yNC8yMDIyCAAAAAkxLzI5LzIwMjIJAAAAATCRcoq/mA3aCNsisL+YDdoIEkNJUS5MU0U6T0tFWS5JUV9OSQEAAABvrH8BAgAAAAktNS4zNTY1NzIBCAAAAAUAAAABMQEAAAALLTIxMzI2NzI4MTUDAAAAAzE2MAIAAAACMTUEAAAAATAHAAAACTMvMjQvMjAyMggAAAAJNi8zMC8yMDIxCQAAAAEwkXKKv5gN2gjM+6+/mA3aCB5DSVEuQk1WOlNPUklBTkEgQi5JUV9UT1RBTF9SRVYBAAAAqWUNAAIAAAALNzU3Mi43OTA4OTcBCAAAAAUAAAABMQEAAAALLTIxMTEwODgwMjUDAAAAAzE2MAIAAAACMjgEAAAAATAHAAAACTMvMjQvMjAyMggAAAAKMTIvMzEvMjAyMQkAAAABMJFyir+YDdoIzPuvv5gN2ggeQ0lRLk5BU0RBUUdTOlBTTVQuSVFfVE9UQUxfUkVWAQAAAAnBBQACAAAACDM3MTcu</t>
  </si>
  <si>
    <t>Nzk1AQgAAAAFAAAAATEBAAAACy0yMTE1NzYxNzE3AwAAAAMxNjACAAAAAjI4BAAAAAEwBwAAAAkzLzI0LzIwMjIIAAAACjExLzMwLzIwMjEJAAAAATCRcoq/mA3aCNqtr7+YDdoIGUNJUS5JRFg6TVBQQS5JUV9UT1RBTF9SRVYBAAAAEWcNAAIAAAAKNDU5LjQ0NzY2MwEIAAAABQAAAAExAQAAAAstMjExODQ2ODUxMgMAAAADMTYwAgAAAAIyOAQAAAABMAcAAAAJMy8yNC8yMDIyCAAAAAk5LzMwLzIwMjEJAAAAATCRcoq/mA3aCNqtr7+YDdoIF0NJUS5OQVNEQVFHUzpDT1NULklRX05JAQAAAJFqAQACAAAABDU1MTMBCAAAAAUAAAABMQEAAAALLTIxMDg4NTUzNDgDAAAAAzE2MAIAAAACMTUEAAAAATAHAAAACTMvMjQvMjAyMggAAAAJMi8xMy8yMDIyCQAAAAEwkXKKv5gN2gjara+/mA3aCBlDSVEuTllTRTpUR1QuSVFfVE9UQUxfUkVWAQAAAGapAgACAAAABjEwNjAwNQEIAAAABQAAAAExAQAAAAstMjEwODkzODE1MgMAAAADMTYwAgAAAAIyOAQAAAABMAcAAAAJMy8yNC8yMDIyCAAAAAkxLzI5LzIwMjIJAAAAATCRcoq/mA3aCLnUr7+YDdoIEkNJUS5OWVNFOkJCWS5JUV9OSQEAAACl5QMAAgAAAAQyNDU0AQgAAAAFAAAAATEBAAAACy0yMTA3Njc0OTk1AwAAAAMxNjACAAAAAjE1BAAAAAEwBwAAAAkzLzI0LzIwMjIIAAAACTEvMjkvMjAyMgkAAAABMJFyir+YDdoIO4evv5gN2ggXQ0lRLkJNVjpTT1JJQU5B</t>
  </si>
  <si>
    <t>IEIuSVFfTkkBAAAAqWUNAAIAAAAJMjExLjI2MzE0AQgAAAAFAAAAATEBAAAACy0yMTExMDg4MDI1AwAAAAMxNjACAAAAAjE1BAAAAAEwBwAAAAkzLzI0LzIwMjIIAAAACjEyLzMxLzIwMjEJAAAAATCRcoq/mA3aCNg4r7+YDdoIEkNJUS5OWVNFOlRHVC5JUV9OSQEAAABmqQIAAgAAAAQ2OTQ2AQgAAAAFAAAAATEBAAAACy0yMTA4OTM4MTUyAwAAAAMxNjACAAAAAjE1BAAAAAEwBwAAAAkzLzI0LzIwMjIIAAAACTEvMjkvMjAyMgkAAAABMJFyir+YDdoIjV+vv5gN2ggYQ0lRLk5ZU0U6QkouSVFfVE9UQUxfUkVWAQAAAGON4w4CAAAACTE2NjY3LjMwMgEIAAAABQAAAAExAQAAAAstMjEwNzg5OTE1MAMAAAADMTYwAgAAAAIyOAQAAAABMAcAAAAJMy8yNC8yMDIyCAAAAAkxLzI5LzIwMjIJAAAAATCRcoq/mA3aCI1fr7+YDdoIF0NJUS5OQVNEQVFHUzpQU01ULklRX05JAQAAAAnBBQACAAAABzEwMC43MzcBCAAAAAUAAAABMQEAAAALLTIxMTU3NjE3MTcDAAAAAzE2MAIAAAACMTUEAAAAATAHAAAACTMvMjQvMjAyMggAAAAKMTEvMzAvMjAyMQkAAAABMJFyir+YDdoI2Divv5gN2ggaQ0lRLkVOWFRQQTpDQS5JUV9UT1RBTF9SRVYBAAAA9mUBAAIAAAAMODQyNDguODM0MzMxAQgAAAAFAAAAATEBAAAACy0yMTA3Nzg0NTcyAwAAAAMxNjACAAAAAjI4BAAAAAEwBwAAAAkzLzI0LzIwMjIIAAAACjEyLzMxLzIwMjEJ</t>
  </si>
  <si>
    <t>AAAAATCRcoq/mA3aCNg4r7+YDdoIEkNJUS5JRFg6TVBQQS5JUV9OSQEAAAARZw0AAgAAAAotMTcuMTcwNzkxAQgAAAAFAAAAATEBAAAACy0yMTE4NDY4NTEyAwAAAAMxNjACAAAAAjE1BAAAAAEwBwAAAAkzLzI0LzIwMjIIAAAACTkvMzAvMjAyMQkAAAABMJFyir+YDdoIvRGvv5gN2ggZQ0lRLkxTRTpPS0VZLklRX1RPVEFMX1JFVgEAAABvrH8BAgAAAAsyNDMzLjU2MDc5MgEIAAAABQAAAAExAQAAAAstMjEzMjY3MjgxNQMAAAADMTYwAgAAAAIyOAQAAAABMAcAAAAJMy8yNC8yMDIyCAAAAAk2LzMwLzIwMjEJAAAAATCRcoq/mA3aCL0Rr7+YDdoIEUNJUS5OWVNFOkJKLklRX05JAQAAAGON4w4CAAAABzQyNi42NTIBCAAAAAUAAAABMQEAAAALLTIxMDc4OTkxNTADAAAAAzE2MAIAAAACMTUEAAAAATAHAAAACTMvMjQvMjAyMggAAAAJMS8yOS8yMDIyCQAAAAEwkXKKv5gN2ghUw66/mA3aCBhDSVEuTllTRTpLUi5JUV9UT1RBTF9SRVYBAAAAtlYEAAIAAAAGMTM3ODg4AQgAAAAFAAAAATEBAAAACy0yMTA5NzYyNDMyAwAAAAMxNjACAAAAAjI4BAAAAAEwBwAAAAkzLzI0LzIwMjIIAAAACTEvMjkvMjAyMgkAAAABMJFyir+YDdoI8+quv5gN2ggTQ0lRLkVOWFRQQTpDQS5JUV9OSQEAAAD2ZQEAAgAAAAsxMjE5LjE1MTU5OAEIAAAABQAAAAExAQAAAAstMjEwNzc4NDU3MgMAAAADMTYwAgAAAAIxNQQAAAABMAcA</t>
  </si>
  <si>
    <t>AAAJMy8yNC8yMDIyCAAAAAoxMi8zMS8yMDIxCQAAAAEwkXKKv5gN2ghUw66/mA3aCBlDSVEuTllTRTpUR1QuSVFfTUFSS0VUQ0FQAQAAAGapAgACAAAADTEwMDIxNS4yNDUyMTQBBgAAAAUAAAABMQEAAAALLTIxMDg5MzgxNTQDAAAAAzE2MAIAAAAGMTAwMDU0BAAAAAEwBwAAAAkzLzIzLzIwMjKRcoq/mA3aCNsisL+YDdoIHkNJUS5OQVNEQVFHUzpQU01ULklRX01BUktFVENBUAEAAAAJwQUAAgAAAAsyMzcwLjA0MTQyMgEGAAAABQAAAAExAQAAAAstMjExNTc2MTc0MQMAAAADMTYwAgAAAAYxMDAwNTQEAAAAATAHAAAACTMvMjMvMjAyMpFyir+YDdoIudSvv5gN2ggZQ0lRLklEWDpNUFBBLklRX01BUktFVENBUAEAAAARZw0AAgAAABAyMzcuMjMwOTE0MTAyMTIzAQYAAAAFAAAAATEBAAAACy0yMTE4NDY4NjU3AwAAAAMxNjACAAAABjEwMDA1NAQAAAABMAcAAAAJMy8yNC8yMDIykXKKv5gN2gjM+6+/mA3aCBhDSVEuTllTRTpCSi5JUV9NQVJLRVRDQVABAAAAY43jDgIAAAALODY3Ny40Njg3ODcBBgAAAAUAAAABMQEAAAALLTIxMDc4OTkxNTIDAAAAAzE2MAIAAAAGMTAwMDU0BAAAAAEwBwAAAAkzLzIzLzIwMjKRcoq/mA3aCLnUr7+YDdoIGkNJUS5FTlhUUEE6Q0EuSVFfTUFSS0VUQ0FQAQAAAPZlAQACAAAAEDE1ODM4Ljg4Mjc5NTM2MzcBBgAAAAUAAAABMQEAAAALLTIxMDc3ODQ1NzQDAAAAAzE2MAIA</t>
  </si>
  <si>
    <t>AAAGMTAwMDU0BAAAAAEwBwAAAAkzLzI0LzIwMjKRcoq/mA3aCDuHr7+YDdoIHkNJUS5CTVY6U09SSUFOQSBCLklRX01BUktFVENBUAEAAACpZQ0AAgAAAA0xOTY3LjQ1MjAzMzY4AQYAAAAFAAAAATEBAAAACy0yMTExMDcwNDM4AwAAAAMxNjACAAAABjEwMDA1NAQAAAABMAcAAAAJMy8yMy8yMDIykXKKv5gN2giNX6+/mA3aCBhDSVEuTllTRTpLUi5JUV9NQVJLRVRDQVABAAAAtlYEAAIAAAAHNDA5ODIuNwEGAAAABQAAAAExAQAAAAstMjEwOTc2MjU2OQMAAAADMTYwAgAAAAYxMDAwNTQEAAAAATAHAAAACTMvMjMvMjAyMpFyir+YDdoIvRGvv5gN2ggZQ0lRLkxTRTpPS0VZLklRX01BUktFVENBUAEAAABvrH8BAgAAAAoxNjAuMzY4MTA0AQYAAAAFAAAAATEBAAAACy0yMTMyNjczNDk0AwAAAAMxNjACAAAABjEwMDA1NAQAAAABMAcAAAAIMy80LzIwMjKRcoq/mA3aCNg4r7+YDdoIHkNJUS5OQVNEQVFHUzpDT1NULklRX01BUktFVENBUAEAAACRagEAAgAAAA0yNDU1NTUuMTIxMTQ2AQYAAAAFAAAAATEBAAAACy0yMTA4ODU1OTE5AwAAAAMxNjACAAAABjEwMDA1NAQAAAABMAcAAAAJMy8yMy8yMDIykXKKv5gN2gi9Ea+/mA3aCBlDSVEuTllTRTpCQlkuSVFfTUFSS0VUQ0FQAQAAAKXlAwACAAAADDIxNzU0Ljc0ODk1MgEGAAAABQAAAAExAQAAAAstMjEwNzY3NDk4MAMAAAADMTYwAgAAAAYxMDAwNTQEAAAA</t>
  </si>
  <si>
    <t>ATAHAAAACTMvMjMvMjAyMpFyir+YDdoI8+quv5gN2gg=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</si>
</sst>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mmm\ d\,\ yyyy;@"/>
  </numFmts>
  <fonts count="18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3"/>
      <name val="Arial"/>
      <family val="2"/>
      <scheme val="minor"/>
    </font>
    <font>
      <sz val="11"/>
      <color rgb="FF006100"/>
      <name val="Arial"/>
      <family val="2"/>
      <scheme val="minor"/>
    </font>
    <font>
      <sz val="11"/>
      <color rgb="FF9C0006"/>
      <name val="Arial"/>
      <family val="2"/>
      <scheme val="minor"/>
    </font>
    <font>
      <sz val="11"/>
      <color rgb="FF9C6500"/>
      <name val="Arial"/>
      <family val="2"/>
      <scheme val="minor"/>
    </font>
    <font>
      <sz val="11"/>
      <color rgb="FF3F3F76"/>
      <name val="Arial"/>
      <family val="2"/>
      <scheme val="minor"/>
    </font>
    <font>
      <b/>
      <sz val="11"/>
      <color rgb="FF3F3F3F"/>
      <name val="Arial"/>
      <family val="2"/>
      <scheme val="minor"/>
    </font>
    <font>
      <b/>
      <sz val="11"/>
      <color rgb="FFFA7D00"/>
      <name val="Arial"/>
      <family val="2"/>
      <scheme val="minor"/>
    </font>
    <font>
      <sz val="11"/>
      <color rgb="FFFA7D0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rgb="FFFF0000"/>
      <name val="Arial"/>
      <family val="2"/>
      <scheme val="minor"/>
    </font>
    <font>
      <i/>
      <sz val="11"/>
      <color rgb="FF7F7F7F"/>
      <name val="Arial"/>
      <family val="2"/>
      <scheme val="minor"/>
    </font>
    <font>
      <sz val="11"/>
      <color theme="0"/>
      <name val="Arial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8999908444471571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2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" fillId="0" borderId="0"/>
    <xf numFmtId="43" fontId="1" fillId="0" borderId="0" applyFont="0" applyFill="0" applyBorder="0" applyAlignment="0" applyProtection="0"/>
  </cellStyleXfs>
  <cellXfs count="29">
    <xf numFmtId="0" fontId="0" fillId="0" borderId="0" xfId="0"/>
    <xf numFmtId="0" fontId="0" fillId="33" borderId="0" xfId="0" applyFill="1"/>
    <xf numFmtId="0" fontId="0" fillId="34" borderId="0" xfId="0" applyFill="1"/>
    <xf numFmtId="0" fontId="17" fillId="35" borderId="0" xfId="0" applyFont="1" applyFill="1"/>
    <xf numFmtId="0" fontId="0" fillId="36" borderId="0" xfId="0" applyFill="1"/>
    <xf numFmtId="0" fontId="17" fillId="38" borderId="0" xfId="0" applyFont="1" applyFill="1"/>
    <xf numFmtId="0" fontId="17" fillId="37" borderId="0" xfId="0" applyFont="1" applyFill="1"/>
    <xf numFmtId="164" fontId="17" fillId="37" borderId="0" xfId="0" applyNumberFormat="1" applyFont="1" applyFill="1" applyAlignment="1">
      <alignment horizontal="left"/>
    </xf>
    <xf numFmtId="0" fontId="17" fillId="37" borderId="0" xfId="0" applyFont="1" applyFill="1" applyAlignment="1">
      <alignment horizontal="left"/>
    </xf>
    <xf numFmtId="0" fontId="17" fillId="39" borderId="0" xfId="0" applyFont="1" applyFill="1"/>
    <xf numFmtId="3" fontId="17" fillId="39" borderId="0" xfId="0" applyNumberFormat="1" applyFont="1" applyFill="1" applyAlignment="1">
      <alignment horizontal="right"/>
    </xf>
    <xf numFmtId="0" fontId="17" fillId="39" borderId="0" xfId="0" applyFont="1" applyFill="1" applyAlignment="1">
      <alignment horizontal="center"/>
    </xf>
    <xf numFmtId="0" fontId="17" fillId="40" borderId="0" xfId="0" applyFont="1" applyFill="1" applyAlignment="1">
      <alignment horizontal="center"/>
    </xf>
    <xf numFmtId="0" fontId="17" fillId="40" borderId="0" xfId="0" applyFont="1" applyFill="1"/>
    <xf numFmtId="3" fontId="17" fillId="40" borderId="0" xfId="0" applyNumberFormat="1" applyFont="1" applyFill="1" applyAlignment="1">
      <alignment horizontal="right"/>
    </xf>
    <xf numFmtId="37" fontId="17" fillId="39" borderId="0" xfId="43" applyNumberFormat="1" applyFont="1" applyFill="1" applyAlignment="1">
      <alignment horizontal="right"/>
    </xf>
    <xf numFmtId="3" fontId="17" fillId="35" borderId="0" xfId="0" applyNumberFormat="1" applyFont="1" applyFill="1"/>
    <xf numFmtId="0" fontId="0" fillId="41" borderId="0" xfId="0" applyFill="1"/>
    <xf numFmtId="0" fontId="0" fillId="42" borderId="0" xfId="0" applyFill="1"/>
    <xf numFmtId="0" fontId="0" fillId="42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3" borderId="0" xfId="0" applyFill="1" applyAlignment="1">
      <alignment horizontal="center"/>
    </xf>
    <xf numFmtId="0" fontId="0" fillId="44" borderId="0" xfId="0" applyFill="1" applyAlignment="1">
      <alignment horizontal="center"/>
    </xf>
    <xf numFmtId="0" fontId="17" fillId="45" borderId="0" xfId="0" applyFont="1" applyFill="1" applyAlignment="1">
      <alignment horizontal="center"/>
    </xf>
    <xf numFmtId="0" fontId="17" fillId="46" borderId="0" xfId="0" applyFont="1" applyFill="1" applyAlignment="1">
      <alignment horizontal="center"/>
    </xf>
    <xf numFmtId="0" fontId="0" fillId="43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42" borderId="0" xfId="0" applyFill="1" applyAlignment="1">
      <alignment horizontal="center"/>
    </xf>
    <xf numFmtId="0" fontId="17" fillId="45" borderId="0" xfId="0" applyFont="1" applyFill="1" applyAlignment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" xfId="43" builtinId="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31" xfId="42" xr:uid="{00000000-0005-0000-0000-000028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colors>
    <mruColors>
      <color rgb="FF989494"/>
      <color rgb="FF5E8AB4"/>
      <color rgb="FF7F7F7F"/>
      <color rgb="FF767171"/>
      <color rgb="FFECECEC"/>
      <color rgb="FF9EB8D1"/>
      <color rgb="FF9EC6CC"/>
      <color rgb="FF0000FF"/>
      <color rgb="FFFFFFCC"/>
      <color rgb="FF002B4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externalLink" Target="externalLinks/externalLink11.xml"/><Relationship Id="rId18" Type="http://schemas.openxmlformats.org/officeDocument/2006/relationships/sheetMetadata" Target="metadata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externalLink" Target="externalLinks/externalLink10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externalLink" Target="externalLinks/externalLink9.xml"/><Relationship Id="rId5" Type="http://schemas.openxmlformats.org/officeDocument/2006/relationships/externalLink" Target="externalLinks/externalLink3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8.xml"/><Relationship Id="rId19" Type="http://schemas.openxmlformats.org/officeDocument/2006/relationships/calcChain" Target="calcChain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openxmlformats.org/officeDocument/2006/relationships/externalLink" Target="externalLinks/externalLink12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New%20Structure/Bikaner/Working%20Capital%20Dashboard/Excel%20-%20Working%20Capital%20Analysis%20-%2011%20Feb%20201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Users\SKhanvilkar\AppData\Local\Capital%20IQ\Office%20Plug-in\Templates\Plug-In%20Tools\Copy%20of%20Capital%20IQ%20Identifier%20Convertor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Users/skhanvilkar/Desktop/CCE/Novelis/CapIQ%20Resources/Capital%20IQ%20Identifier%20Convertor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Users\skhanvilkar\Desktop\CapIQ%20Resources\Capital%20IQ%20Identifier%20Convertor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Users/skhanvilkar/AppData/Local/Microsoft/Windows/Temporary%20Internet%20Files/Content.Outlook/1U92OG3W/Capital%20IQ%20Identifier%20Convertor%20(13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New%20Structure/Lawrence/All%20Templates/Banking%20Template/Banking%20Excel%20Template%20-%20May%2026%202014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New%20Structure/Lawrence/COMPANY%20STUDIES/Lenovo/Deliverable/TSC%20-%20LCP%20-%20Lenovo%20-%20November%2026,%202012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Documents%20and%20Settings/amit.manchanda/Application%20Data/Microsoft/Excel/TSC%20-%20SKF%20Template%20-%20April%2023,%202012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Documents%20and%20Settings/tscciq.THESMARTCUBE/Application%20Data/Microsoft/Excel/Earning%20Surprise/Earning%20Tracker%20Template%20-%2028%20March%202013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Template%20-%2016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New%20Structure/Lawrence/COMPANY%20STUDIES/Sandvik/Deliverable/Earnings%20Update_May%2002%202012/TSC%20-%20Sandvik%20-%20May%2002,%202012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itinfoalvarezandmarsal-my.sharepoint.com/New%20Structure/Lawrence/COMPANY%20STUDIES/Gildan%20Activewear/Deliverable/TSC%20-%20LCP%20-%20GIL%20-%20Sep%2011,%20201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Input Sheet"/>
      <sheetName val="Working Capital"/>
      <sheetName val="Stoplights"/>
      <sheetName val="CIQ Formula"/>
      <sheetName val="CIQ Data"/>
      <sheetName val="WC Analysis"/>
      <sheetName val="Score Analysis"/>
      <sheetName val="ChartData"/>
      <sheetName val="Export"/>
    </sheetNames>
    <sheetDataSet>
      <sheetData sheetId="0"/>
      <sheetData sheetId="1"/>
      <sheetData sheetId="2">
        <row r="2">
          <cell r="B2" t="str">
            <v xml:space="preserve">Working Capital Vs. Vital Few Peers </v>
          </cell>
        </row>
      </sheetData>
      <sheetData sheetId="3">
        <row r="2">
          <cell r="B2" t="str">
            <v>Overall Performance: Diageo vs. Vital Few Peers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anies"/>
      <sheetName val="People"/>
    </sheetNames>
    <sheetDataSet>
      <sheetData sheetId="0">
        <row r="12">
          <cell r="I12" t="str">
            <v>Google Inc.</v>
          </cell>
          <cell r="J12" t="str">
            <v>Google Ventures</v>
          </cell>
          <cell r="K12" t="str">
            <v>Google Capital</v>
          </cell>
          <cell r="L12" t="str">
            <v>Google Earth Enterprise</v>
          </cell>
          <cell r="M12" t="str">
            <v>Google Denmark ApS</v>
          </cell>
          <cell r="O12" t="str">
            <v>IQ29096</v>
          </cell>
          <cell r="P12" t="str">
            <v>IQ54497244</v>
          </cell>
          <cell r="Q12" t="str">
            <v>IQ244638517</v>
          </cell>
          <cell r="R12" t="str">
            <v>IQ7982243</v>
          </cell>
          <cell r="S12" t="str">
            <v>IQ36335912</v>
          </cell>
        </row>
        <row r="13">
          <cell r="I13" t="str">
            <v>Microsoft Corporation</v>
          </cell>
          <cell r="J13" t="str">
            <v>Microsoft Dynamics Inc</v>
          </cell>
          <cell r="K13" t="str">
            <v>Microsoft Ventures</v>
          </cell>
          <cell r="L13" t="str">
            <v>Microsoft Advertising</v>
          </cell>
          <cell r="M13" t="str">
            <v>Microsoft Corporation, Investment Arm</v>
          </cell>
          <cell r="O13" t="str">
            <v>IQ21835</v>
          </cell>
          <cell r="P13" t="str">
            <v>IQ166906</v>
          </cell>
          <cell r="Q13" t="str">
            <v>IQ215555230</v>
          </cell>
          <cell r="R13" t="str">
            <v>IQ25325</v>
          </cell>
          <cell r="S13" t="str">
            <v>IQ45324506</v>
          </cell>
        </row>
        <row r="14">
          <cell r="I14" t="str">
            <v>Jarden Corp.</v>
          </cell>
          <cell r="J14" t="str">
            <v>Shanghai Jahwa United Co., Ltd.</v>
          </cell>
          <cell r="K14" t="str">
            <v>JAHWA Electronics Co., Ltd.</v>
          </cell>
          <cell r="L14" t="str">
            <v>Jahnel-Kestermann Getriebewerke GmbH</v>
          </cell>
          <cell r="M14" t="str">
            <v>Jahia Solutions Group SA</v>
          </cell>
          <cell r="O14" t="str">
            <v>IQ123891</v>
          </cell>
          <cell r="P14" t="str">
            <v>IQ5575384</v>
          </cell>
          <cell r="Q14" t="str">
            <v>IQ9549245</v>
          </cell>
          <cell r="R14" t="str">
            <v>IQ29160666</v>
          </cell>
          <cell r="S14" t="str">
            <v>IQ3277984</v>
          </cell>
        </row>
        <row r="15">
          <cell r="I15" t="str">
            <v>Western Alliance Bancorporation</v>
          </cell>
          <cell r="J15" t="str">
            <v>Wal-Mart Stores Inc.</v>
          </cell>
          <cell r="K15" t="str">
            <v>Walgreen Co.</v>
          </cell>
          <cell r="L15" t="str">
            <v>Walter Energy, Inc.</v>
          </cell>
          <cell r="M15" t="str">
            <v>The Walt Disney Company</v>
          </cell>
          <cell r="O15" t="str">
            <v>IQ22211534</v>
          </cell>
          <cell r="P15" t="str">
            <v>IQ313055</v>
          </cell>
          <cell r="Q15" t="str">
            <v>IQ93624</v>
          </cell>
          <cell r="R15" t="str">
            <v>IQ36451</v>
          </cell>
          <cell r="S15" t="str">
            <v>IQ191564</v>
          </cell>
        </row>
        <row r="16">
          <cell r="I16" t="str">
            <v>BP p.l.c.</v>
          </cell>
          <cell r="J16" t="str">
            <v>British Petroleum NA, Inc.</v>
          </cell>
          <cell r="K16" t="str">
            <v>British Petroleum Finance BV</v>
          </cell>
          <cell r="L16" t="str">
            <v>Esso Property Management Company, Ltd</v>
          </cell>
          <cell r="M16" t="str">
            <v>BP Exploration (Alaska), Inc.</v>
          </cell>
          <cell r="O16" t="str">
            <v>IQ394466</v>
          </cell>
          <cell r="P16" t="str">
            <v>IQ24947330</v>
          </cell>
          <cell r="Q16" t="str">
            <v>IQ217686549</v>
          </cell>
          <cell r="R16" t="str">
            <v>IQ205021132</v>
          </cell>
          <cell r="S16" t="str">
            <v>IQ1465165</v>
          </cell>
        </row>
        <row r="17">
          <cell r="I17" t="str">
            <v>Las Vegas Sands Corp.</v>
          </cell>
          <cell r="J17" t="str">
            <v>Las Vegas Sands LLC</v>
          </cell>
          <cell r="K17" t="str">
            <v>Westgate Las Vegas Resort &amp; Casino</v>
          </cell>
          <cell r="L17" t="str">
            <v>LasVegasFromHome.com Ent. Inc.</v>
          </cell>
          <cell r="M17" t="str">
            <v>Las Vegas Paving Corporation</v>
          </cell>
          <cell r="O17" t="str">
            <v>IQ3632895</v>
          </cell>
          <cell r="P17" t="str">
            <v>IQ24020744</v>
          </cell>
          <cell r="Q17" t="str">
            <v>IQ682030</v>
          </cell>
          <cell r="R17" t="str">
            <v>IQ403995</v>
          </cell>
          <cell r="S17" t="str">
            <v>IQ47056062</v>
          </cell>
        </row>
        <row r="18">
          <cell r="I18" t="str">
            <v>General Electric Company</v>
          </cell>
          <cell r="J18" t="str">
            <v>Germany (Federal Republic of)</v>
          </cell>
          <cell r="K18" t="str">
            <v>Government Of Georgia</v>
          </cell>
          <cell r="L18" t="str">
            <v>Government of United Kingdom</v>
          </cell>
          <cell r="M18" t="str">
            <v>Mubadala Development Company PJSC</v>
          </cell>
          <cell r="O18" t="str">
            <v>IQ177031</v>
          </cell>
          <cell r="P18" t="str">
            <v>IQ8201718</v>
          </cell>
          <cell r="Q18" t="str">
            <v>IQ28896591</v>
          </cell>
          <cell r="R18" t="str">
            <v>IQ25809472</v>
          </cell>
          <cell r="S18" t="str">
            <v>IQ9759228</v>
          </cell>
        </row>
        <row r="19">
          <cell r="I19" t="str">
            <v>International Bus Services Inc</v>
          </cell>
          <cell r="J19" t="str">
            <v>International Business Machines Corporation</v>
          </cell>
          <cell r="K19" t="str">
            <v>International Business Systems United States Inc.</v>
          </cell>
          <cell r="L19" t="str">
            <v>International Business Times, Inc.</v>
          </cell>
          <cell r="M19" t="str">
            <v>International Business Machines (IBM) Leasing Co., Ltd.</v>
          </cell>
          <cell r="O19" t="str">
            <v>IQ244740766</v>
          </cell>
          <cell r="P19" t="str">
            <v>IQ112350</v>
          </cell>
          <cell r="Q19" t="str">
            <v>IQ4638562</v>
          </cell>
          <cell r="R19" t="str">
            <v>IQ128801557</v>
          </cell>
          <cell r="S19" t="str">
            <v>IQ42990880</v>
          </cell>
        </row>
        <row r="20">
          <cell r="I20" t="str">
            <v>Daimler AG</v>
          </cell>
          <cell r="J20" t="str">
            <v>Daimler Chrysler</v>
          </cell>
          <cell r="K20" t="str">
            <v>Daimler North America Corporation</v>
          </cell>
          <cell r="L20" t="str">
            <v>Chrysler Motors LLC</v>
          </cell>
          <cell r="M20" t="str">
            <v>DaimlerChrysler Venture GmbH</v>
          </cell>
          <cell r="O20" t="str">
            <v>IQ106772</v>
          </cell>
          <cell r="P20" t="str">
            <v>IQ252756815</v>
          </cell>
          <cell r="Q20" t="str">
            <v>IQ4107465</v>
          </cell>
          <cell r="R20" t="str">
            <v>IQ7828134</v>
          </cell>
          <cell r="S20" t="str">
            <v>IQ472634</v>
          </cell>
        </row>
        <row r="21">
          <cell r="I21" t="str">
            <v>Dana Gas PJSC</v>
          </cell>
          <cell r="J21" t="str">
            <v>Danaher Corp.</v>
          </cell>
          <cell r="K21" t="str">
            <v>Dana Holding Corporation</v>
          </cell>
          <cell r="L21" t="str">
            <v>Danaos Corporation</v>
          </cell>
          <cell r="M21" t="str">
            <v>Dana Petroleum plc.</v>
          </cell>
          <cell r="O21" t="str">
            <v>IQ23886772</v>
          </cell>
          <cell r="P21" t="str">
            <v>IQ265621</v>
          </cell>
          <cell r="Q21" t="str">
            <v>IQ174336</v>
          </cell>
          <cell r="R21" t="str">
            <v>IQ28245722</v>
          </cell>
          <cell r="S21" t="str">
            <v>IQ881631</v>
          </cell>
        </row>
        <row r="22">
          <cell r="I22" t="str">
            <v>Johnson Controls Inc.</v>
          </cell>
          <cell r="J22" t="str">
            <v>Johnson Controls Ltd</v>
          </cell>
          <cell r="K22" t="str">
            <v>Johnson Controls GmbH</v>
          </cell>
          <cell r="L22" t="str">
            <v>Johnson Controls LP</v>
          </cell>
          <cell r="M22" t="str">
            <v>Johnson Controls France S.A.</v>
          </cell>
          <cell r="O22" t="str">
            <v>IQ282590</v>
          </cell>
          <cell r="P22" t="str">
            <v>IQ49497633</v>
          </cell>
          <cell r="Q22" t="str">
            <v>IQ8237614</v>
          </cell>
          <cell r="R22" t="str">
            <v>IQ6440660</v>
          </cell>
          <cell r="S22" t="str">
            <v>IQ30585492</v>
          </cell>
        </row>
        <row r="23">
          <cell r="I23" t="str">
            <v>Nissan Europe S.A.S.</v>
          </cell>
          <cell r="O23" t="str">
            <v>IQ8102985</v>
          </cell>
        </row>
        <row r="24">
          <cell r="I24" t="str">
            <v>Nissan Motor Co. Ltd.</v>
          </cell>
          <cell r="J24" t="str">
            <v>Nissan Motor Acceptance Corporation</v>
          </cell>
          <cell r="K24" t="str">
            <v>Nissan Motor (Schweiz) AG</v>
          </cell>
          <cell r="L24" t="str">
            <v>Nissan Motor Co. (Australia) Pty Ltd.</v>
          </cell>
          <cell r="M24" t="str">
            <v>Nissan North America, Inc.</v>
          </cell>
          <cell r="O24" t="str">
            <v>IQ291331</v>
          </cell>
          <cell r="P24" t="str">
            <v>IQ4176571</v>
          </cell>
          <cell r="Q24" t="str">
            <v>IQ216486970</v>
          </cell>
          <cell r="R24" t="str">
            <v>IQ5875157</v>
          </cell>
          <cell r="S24" t="str">
            <v>IQ4224792</v>
          </cell>
        </row>
        <row r="25">
          <cell r="I25" t="str">
            <v>Nissan North America, Inc.</v>
          </cell>
          <cell r="O25" t="str">
            <v>IQ4224792</v>
          </cell>
        </row>
        <row r="26">
          <cell r="I26" t="str">
            <v>Renault Société Anonym</v>
          </cell>
          <cell r="J26" t="str">
            <v>Renault</v>
          </cell>
          <cell r="K26" t="str">
            <v>Renault-Nissan B.V.</v>
          </cell>
          <cell r="L26" t="str">
            <v>Renault s.a.s.</v>
          </cell>
          <cell r="M26" t="str">
            <v>Renault Trucks SAS</v>
          </cell>
          <cell r="O26" t="str">
            <v>IQ428034</v>
          </cell>
          <cell r="P26" t="str">
            <v>IQ129396839</v>
          </cell>
          <cell r="Q26" t="str">
            <v>IQ24886531</v>
          </cell>
          <cell r="R26" t="str">
            <v>IQ11212232</v>
          </cell>
          <cell r="S26" t="str">
            <v>IQ5467275</v>
          </cell>
        </row>
        <row r="27">
          <cell r="I27" t="str">
            <v>Visteon Corporation</v>
          </cell>
          <cell r="J27" t="str">
            <v>Visteon Automotive Holdings, LLC</v>
          </cell>
          <cell r="K27" t="str">
            <v>Visteon Corp., Climate Control Operations</v>
          </cell>
          <cell r="L27" t="str">
            <v>Visteon Automotive Systems</v>
          </cell>
          <cell r="M27" t="str">
            <v>Visteon Sistemas Automotivos Ltda.</v>
          </cell>
          <cell r="O27" t="str">
            <v>IQ245507</v>
          </cell>
          <cell r="P27" t="str">
            <v>IQ32985237</v>
          </cell>
          <cell r="Q27" t="str">
            <v>IQ217536181</v>
          </cell>
          <cell r="R27" t="str">
            <v>IQ129199184</v>
          </cell>
          <cell r="S27" t="str">
            <v>IQ109313617</v>
          </cell>
        </row>
        <row r="28">
          <cell r="I28" t="str">
            <v>Kate Spade &amp; Company</v>
          </cell>
          <cell r="J28" t="str">
            <v>Liz Claiborne International Ltd.</v>
          </cell>
          <cell r="K28" t="str">
            <v>Liz Claiborne Pty. Ltd.</v>
          </cell>
          <cell r="L28" t="str">
            <v>Liz Claiborne Sales, Inc.</v>
          </cell>
          <cell r="M28" t="str">
            <v>Juicy Couture, Inc.</v>
          </cell>
          <cell r="O28" t="str">
            <v>IQ285125</v>
          </cell>
          <cell r="P28" t="str">
            <v>IQ36709239</v>
          </cell>
          <cell r="Q28" t="str">
            <v>IQ45595652</v>
          </cell>
          <cell r="R28" t="str">
            <v>IQ6466235</v>
          </cell>
          <cell r="S28" t="str">
            <v>IQ4876308</v>
          </cell>
        </row>
        <row r="30">
          <cell r="I30" t="str">
            <v>Whirlpool Corp.</v>
          </cell>
          <cell r="J30" t="str">
            <v>Whirlpool S.A.</v>
          </cell>
          <cell r="K30" t="str">
            <v>Whirlpool of India Limited</v>
          </cell>
          <cell r="L30" t="str">
            <v>Whirlpool China Co., Ltd</v>
          </cell>
          <cell r="M30" t="str">
            <v>Whirlpool Argentina S.A.</v>
          </cell>
          <cell r="O30" t="str">
            <v>IQ314515</v>
          </cell>
          <cell r="P30" t="str">
            <v>IQ686069</v>
          </cell>
          <cell r="Q30" t="str">
            <v>IQ957412</v>
          </cell>
          <cell r="R30" t="str">
            <v>IQ31338805</v>
          </cell>
          <cell r="S30" t="str">
            <v>IQ5826370</v>
          </cell>
        </row>
        <row r="32">
          <cell r="I32" t="str">
            <v>Service Corporation International</v>
          </cell>
          <cell r="J32" t="str">
            <v>Cv Services International Wholesale Pty Limited</v>
          </cell>
          <cell r="K32" t="str">
            <v>Service Corporation International (Canada)ULC</v>
          </cell>
          <cell r="L32" t="str">
            <v>Services International Hotel</v>
          </cell>
          <cell r="M32" t="str">
            <v>Sphere Services International Canada Inc</v>
          </cell>
          <cell r="O32" t="str">
            <v>IQ302617</v>
          </cell>
          <cell r="P32" t="str">
            <v>IQ46887649</v>
          </cell>
          <cell r="Q32" t="str">
            <v>IQ4048569</v>
          </cell>
          <cell r="R32" t="str">
            <v>IQ58143565</v>
          </cell>
          <cell r="S32" t="str">
            <v>IQ52892457</v>
          </cell>
        </row>
        <row r="33">
          <cell r="I33" t="str">
            <v>Tyco Fire &amp; Security, LLC</v>
          </cell>
          <cell r="J33" t="str">
            <v>Tyco Fire &amp; Security GmbH</v>
          </cell>
          <cell r="K33" t="str">
            <v>Tyco Fire &amp; Security Services Korea Co., Ltd.</v>
          </cell>
          <cell r="L33" t="str">
            <v>Tyco Fire &amp; Security (Beijing) Co., Ltd.</v>
          </cell>
          <cell r="M33" t="str">
            <v>Tyco Fire &amp; Security Pty Limited</v>
          </cell>
          <cell r="O33" t="str">
            <v>IQ1818483</v>
          </cell>
          <cell r="P33" t="str">
            <v>IQ243814618</v>
          </cell>
          <cell r="Q33" t="str">
            <v>IQ228074342</v>
          </cell>
          <cell r="R33" t="str">
            <v>IQ127860402</v>
          </cell>
          <cell r="S33" t="str">
            <v>IQ22433331</v>
          </cell>
        </row>
        <row r="34">
          <cell r="I34" t="str">
            <v>7-Eleven, Inc.</v>
          </cell>
          <cell r="J34" t="str">
            <v>7-Eleven Stores Pty. Ltd.</v>
          </cell>
          <cell r="K34" t="str">
            <v>7-Eleven Convenience Stores</v>
          </cell>
          <cell r="L34" t="str">
            <v>7-Eleven Malaysia Holdings Berhad</v>
          </cell>
          <cell r="M34" t="str">
            <v>Seven-Eleven Japan Co., Ltd.</v>
          </cell>
          <cell r="O34" t="str">
            <v>IQ331010</v>
          </cell>
          <cell r="P34" t="str">
            <v>IQ22563073</v>
          </cell>
          <cell r="Q34" t="str">
            <v>IQ38572974</v>
          </cell>
          <cell r="R34" t="str">
            <v>IQ22400508</v>
          </cell>
          <cell r="S34" t="str">
            <v>IQ875338</v>
          </cell>
        </row>
        <row r="35">
          <cell r="I35" t="str">
            <v>BJ's Wholesale Club Inc.</v>
          </cell>
          <cell r="J35" t="str">
            <v>Bjs Wholesale Club 113</v>
          </cell>
          <cell r="K35" t="str">
            <v>BJ's Wholesale Club in Gainesville</v>
          </cell>
          <cell r="O35" t="str">
            <v>IQ363597</v>
          </cell>
          <cell r="P35" t="str">
            <v>IQ51548741</v>
          </cell>
          <cell r="Q35" t="str">
            <v>IQ244442053</v>
          </cell>
        </row>
        <row r="36">
          <cell r="I36" t="str">
            <v>Britvic Soft Drinks Limited</v>
          </cell>
          <cell r="O36" t="str">
            <v>IQ22547741</v>
          </cell>
        </row>
        <row r="37">
          <cell r="I37" t="str">
            <v>Cadbury Limited</v>
          </cell>
          <cell r="J37" t="str">
            <v>Cadbury Schweppes Inc.</v>
          </cell>
          <cell r="K37" t="str">
            <v>Dr Pepper Snapple Group, Inc.</v>
          </cell>
          <cell r="L37" t="str">
            <v>Mondelez Australia Holdings Pty Ltd</v>
          </cell>
          <cell r="M37" t="str">
            <v>Cadbury Schweppes USA Inc.</v>
          </cell>
          <cell r="O37" t="str">
            <v>IQ171885</v>
          </cell>
          <cell r="P37" t="str">
            <v>IQ60307829</v>
          </cell>
          <cell r="Q37" t="str">
            <v>IQ9247431</v>
          </cell>
          <cell r="R37" t="str">
            <v>IQ145228714</v>
          </cell>
          <cell r="S37" t="str">
            <v>IQ137143517</v>
          </cell>
        </row>
        <row r="38">
          <cell r="I38" t="str">
            <v>Diageo plc</v>
          </cell>
          <cell r="J38" t="str">
            <v>Diageo North America Inc.</v>
          </cell>
          <cell r="K38" t="str">
            <v>Diageo US Limited</v>
          </cell>
          <cell r="L38" t="str">
            <v>Diageo Australia Limited</v>
          </cell>
          <cell r="M38" t="str">
            <v>Diageo Canada Inc.</v>
          </cell>
          <cell r="O38" t="str">
            <v>IQ375780</v>
          </cell>
          <cell r="P38" t="str">
            <v>IQ4301388</v>
          </cell>
          <cell r="Q38" t="str">
            <v>IQ39101204</v>
          </cell>
          <cell r="R38" t="str">
            <v>IQ5631360</v>
          </cell>
          <cell r="S38" t="str">
            <v>IQ4366793</v>
          </cell>
        </row>
        <row r="39">
          <cell r="I39" t="str">
            <v>Heineken NV</v>
          </cell>
          <cell r="J39" t="str">
            <v>Heineken Holding NV</v>
          </cell>
          <cell r="K39" t="str">
            <v>Heineken USA Incorporated</v>
          </cell>
          <cell r="L39" t="str">
            <v>Heineken</v>
          </cell>
          <cell r="M39" t="str">
            <v>Heineken International B.V.</v>
          </cell>
          <cell r="O39" t="str">
            <v>IQ410350</v>
          </cell>
          <cell r="P39" t="str">
            <v>IQ5870004</v>
          </cell>
          <cell r="Q39" t="str">
            <v>IQ4741677</v>
          </cell>
          <cell r="R39" t="str">
            <v>IQ228776499</v>
          </cell>
          <cell r="S39" t="str">
            <v>IQ8123416</v>
          </cell>
        </row>
        <row r="40">
          <cell r="I40" t="str">
            <v>Hormel Foods Corporation</v>
          </cell>
          <cell r="J40" t="str">
            <v>Hormel Foods, LLC</v>
          </cell>
          <cell r="K40" t="str">
            <v>Beijing Hormel Foods Co. Ltd.</v>
          </cell>
          <cell r="L40" t="str">
            <v>Hormel Foods International Corporation</v>
          </cell>
          <cell r="M40" t="str">
            <v>Hormel Foods Japan K.K.</v>
          </cell>
          <cell r="O40" t="str">
            <v>IQ279042</v>
          </cell>
          <cell r="P40" t="str">
            <v>IQ39855268</v>
          </cell>
          <cell r="Q40" t="str">
            <v>IQ39854541</v>
          </cell>
          <cell r="R40" t="str">
            <v>IQ26760741</v>
          </cell>
          <cell r="S40" t="str">
            <v>IQ39855239</v>
          </cell>
        </row>
        <row r="44">
          <cell r="I44" t="str">
            <v>Land O Lakes Inc.</v>
          </cell>
          <cell r="J44" t="str">
            <v>Purina Animal Nutrition LLC</v>
          </cell>
          <cell r="K44" t="str">
            <v>Land O'lakes Purina Feeds Llc</v>
          </cell>
          <cell r="L44" t="str">
            <v>Land O'Lakes Holdings, Inc.</v>
          </cell>
          <cell r="M44" t="str">
            <v>Land O'Lakes Capital Trust I</v>
          </cell>
          <cell r="O44" t="str">
            <v>IQ184002</v>
          </cell>
          <cell r="P44" t="str">
            <v>IQ3605529</v>
          </cell>
          <cell r="Q44" t="str">
            <v>IQ114446992</v>
          </cell>
          <cell r="R44" t="str">
            <v>IQ29927475</v>
          </cell>
          <cell r="S44" t="str">
            <v>IQ3022466</v>
          </cell>
        </row>
        <row r="45">
          <cell r="I45" t="str">
            <v>Pepsi Cola Bottling Co</v>
          </cell>
          <cell r="J45" t="str">
            <v>Pepsi-Cola Bottling Co. Of Northeast Wisconsin, Inc.</v>
          </cell>
          <cell r="K45" t="str">
            <v>Pepsi-Cola Bottling Company Of New York, Inc.</v>
          </cell>
          <cell r="L45" t="str">
            <v>Pepsi Cola Bottling Company Of Conway-Myrtle Beach, Inc.</v>
          </cell>
          <cell r="M45" t="str">
            <v>Pepsi-Cola Bottling Company Of Charlotte Inc.</v>
          </cell>
          <cell r="O45" t="str">
            <v>IQ116784338</v>
          </cell>
          <cell r="P45" t="str">
            <v>IQ30854668</v>
          </cell>
          <cell r="Q45" t="str">
            <v>IQ4217661</v>
          </cell>
          <cell r="R45" t="str">
            <v>IQ4862983</v>
          </cell>
          <cell r="S45" t="str">
            <v>IQ4730852</v>
          </cell>
        </row>
        <row r="46">
          <cell r="I46" t="str">
            <v>Philip Morris International, Inc.</v>
          </cell>
          <cell r="J46" t="str">
            <v>Philip Morris International Management S.A.</v>
          </cell>
          <cell r="K46" t="str">
            <v>Philip Morris Brands Sarl</v>
          </cell>
          <cell r="L46" t="str">
            <v>Philip Morris Global Services Inc.</v>
          </cell>
          <cell r="M46" t="str">
            <v>Philip Morris International Service Center SL</v>
          </cell>
          <cell r="O46" t="str">
            <v>IQ6569181</v>
          </cell>
          <cell r="P46" t="str">
            <v>IQ4165214</v>
          </cell>
          <cell r="Q46" t="str">
            <v>IQ114128798</v>
          </cell>
          <cell r="R46" t="str">
            <v>IQ106845588</v>
          </cell>
          <cell r="S46" t="str">
            <v>IQ106582785</v>
          </cell>
        </row>
        <row r="47">
          <cell r="I47" t="str">
            <v>Philip Morris USA Inc.</v>
          </cell>
          <cell r="J47" t="str">
            <v>Philip Morris USA Inc., 174 Acres of Operations Center Property</v>
          </cell>
          <cell r="O47" t="str">
            <v>IQ516026</v>
          </cell>
          <cell r="P47" t="str">
            <v>IQ107141892</v>
          </cell>
        </row>
        <row r="48">
          <cell r="I48" t="str">
            <v>Rheinmetall AG</v>
          </cell>
          <cell r="J48" t="str">
            <v>Republic of Croatia</v>
          </cell>
          <cell r="K48" t="str">
            <v>RHM Plc</v>
          </cell>
          <cell r="L48" t="str">
            <v>Rhm Klinik-Und Altenheimbetriebe Gmbh &amp; Co.KG</v>
          </cell>
          <cell r="M48" t="str">
            <v>Rhm Rohstoff-Handelsges. Mbh</v>
          </cell>
          <cell r="O48" t="str">
            <v>IQ8185600</v>
          </cell>
          <cell r="P48" t="str">
            <v>IQ27481537</v>
          </cell>
          <cell r="Q48" t="str">
            <v>IQ167536</v>
          </cell>
          <cell r="R48" t="str">
            <v>IQ47268621</v>
          </cell>
          <cell r="S48" t="str">
            <v>IQ47129655</v>
          </cell>
        </row>
        <row r="49">
          <cell r="I49" t="str">
            <v>SABMiller plc</v>
          </cell>
          <cell r="J49" t="str">
            <v>SABMiller Holdings Inc.</v>
          </cell>
          <cell r="K49" t="str">
            <v>SABMiller India Ltd.</v>
          </cell>
          <cell r="L49" t="str">
            <v>SABMiller Africa B.V.</v>
          </cell>
          <cell r="M49" t="str">
            <v>Sabmiller Breweries Private Ltd</v>
          </cell>
          <cell r="O49" t="str">
            <v>IQ874078</v>
          </cell>
          <cell r="P49" t="str">
            <v>IQ142645338</v>
          </cell>
          <cell r="Q49" t="str">
            <v>IQ26689682</v>
          </cell>
          <cell r="R49" t="str">
            <v>IQ133851125</v>
          </cell>
          <cell r="S49" t="str">
            <v>IQ129933374</v>
          </cell>
        </row>
        <row r="51">
          <cell r="I51" t="str">
            <v>Alticor Inc.</v>
          </cell>
          <cell r="J51" t="str">
            <v>Alticor Global Holdings Inc</v>
          </cell>
          <cell r="K51" t="str">
            <v>Solstice Holdings Inc.</v>
          </cell>
          <cell r="L51" t="str">
            <v>Alticor Distribution LLC</v>
          </cell>
          <cell r="M51" t="str">
            <v>Alticor Investments Inc.</v>
          </cell>
          <cell r="O51" t="str">
            <v>IQ1983255</v>
          </cell>
          <cell r="P51" t="str">
            <v>IQ238136745</v>
          </cell>
          <cell r="Q51" t="str">
            <v>IQ28324800</v>
          </cell>
          <cell r="R51" t="str">
            <v>IQ236031816</v>
          </cell>
          <cell r="S51" t="str">
            <v>IQ235665781</v>
          </cell>
        </row>
        <row r="52">
          <cell r="I52" t="str">
            <v>Henkel AG &amp; Co. KGaA</v>
          </cell>
          <cell r="J52" t="str">
            <v>Henkel AG &amp; Co. KGaA, Asset Management Arm</v>
          </cell>
          <cell r="K52" t="str">
            <v>Henkel AG &amp; Co. KGaA, Specialty Coatings Business</v>
          </cell>
          <cell r="L52" t="str">
            <v>Henkel AG &amp; Co. KGaA (Hong Kong branch)</v>
          </cell>
          <cell r="O52" t="str">
            <v>IQ621918</v>
          </cell>
          <cell r="P52" t="str">
            <v>IQ50233710</v>
          </cell>
          <cell r="Q52" t="str">
            <v>IQ244721489</v>
          </cell>
          <cell r="R52" t="str">
            <v>IQ49380168</v>
          </cell>
        </row>
        <row r="53">
          <cell r="I53" t="str">
            <v>The Reader's Digest Association, Inc.</v>
          </cell>
          <cell r="J53" t="str">
            <v>Reader’s Digest Association Far East Limited</v>
          </cell>
          <cell r="K53" t="str">
            <v>RDA Realisations 2010 Limited</v>
          </cell>
          <cell r="L53" t="str">
            <v>The Reader’s Digest Association (Russia) Incorporated</v>
          </cell>
          <cell r="M53" t="str">
            <v>The Reader's Digest Association (Canada) Ltd.</v>
          </cell>
          <cell r="O53" t="str">
            <v>IQ299515</v>
          </cell>
          <cell r="P53" t="str">
            <v>IQ22615340</v>
          </cell>
          <cell r="Q53" t="str">
            <v>IQ5546862</v>
          </cell>
          <cell r="R53" t="str">
            <v>IQ41022456</v>
          </cell>
          <cell r="S53" t="str">
            <v>IQ9512382</v>
          </cell>
        </row>
        <row r="55">
          <cell r="I55" t="str">
            <v>Belk Department Stores LP</v>
          </cell>
          <cell r="J55" t="str">
            <v>Belk Department Stores Clinton North Carolina Inc</v>
          </cell>
          <cell r="K55" t="str">
            <v>Belk Department Stores Greenville NC Inc</v>
          </cell>
          <cell r="L55" t="str">
            <v>Belk Department Stores - Cartersville, GA</v>
          </cell>
          <cell r="M55" t="str">
            <v>Belk Department Stores Morehead North Carolina Inc</v>
          </cell>
          <cell r="O55" t="str">
            <v>IQ27548116</v>
          </cell>
          <cell r="P55" t="str">
            <v>IQ206941506</v>
          </cell>
          <cell r="Q55" t="str">
            <v>IQ207239153</v>
          </cell>
          <cell r="R55" t="str">
            <v>IQ206941756</v>
          </cell>
          <cell r="S55" t="str">
            <v>IQ205092487</v>
          </cell>
        </row>
        <row r="56">
          <cell r="I56" t="str">
            <v>RadioShack Corp.</v>
          </cell>
          <cell r="J56" t="str">
            <v>Radio Shack International, Inc.</v>
          </cell>
          <cell r="K56" t="str">
            <v>Radioshack Customer Service LLC</v>
          </cell>
          <cell r="L56" t="str">
            <v>Radioshack Canada Company</v>
          </cell>
          <cell r="M56" t="str">
            <v>Radio Shack Dealer-Garden Valley Telephn</v>
          </cell>
          <cell r="O56" t="str">
            <v>IQ306963</v>
          </cell>
          <cell r="P56" t="str">
            <v>IQ32670283</v>
          </cell>
          <cell r="Q56" t="str">
            <v>IQ140993656</v>
          </cell>
          <cell r="R56" t="str">
            <v>IQ30967229</v>
          </cell>
          <cell r="S56" t="str">
            <v>IQ6816281</v>
          </cell>
        </row>
        <row r="57">
          <cell r="I57" t="str">
            <v>The TJX Companies, Inc.</v>
          </cell>
          <cell r="J57" t="str">
            <v>TJX UK</v>
          </cell>
          <cell r="K57" t="str">
            <v>TJX Europe Ltd.</v>
          </cell>
          <cell r="L57" t="str">
            <v>T.J.S. Enterprises, Inc.</v>
          </cell>
          <cell r="M57" t="str">
            <v>Ttx Canada Inc</v>
          </cell>
          <cell r="O57" t="str">
            <v>IQ306688</v>
          </cell>
          <cell r="P57" t="str">
            <v>IQ22533252</v>
          </cell>
          <cell r="Q57" t="str">
            <v>IQ5496200</v>
          </cell>
          <cell r="R57" t="str">
            <v>IQ222793775</v>
          </cell>
          <cell r="S57" t="str">
            <v>IQ4470178</v>
          </cell>
        </row>
        <row r="58">
          <cell r="I58" t="str">
            <v>Unisource Worldwide, Inc.</v>
          </cell>
          <cell r="O58" t="str">
            <v>IQ353540</v>
          </cell>
        </row>
        <row r="59">
          <cell r="I59" t="str">
            <v>The Army &amp; Air Force Exchange Service</v>
          </cell>
          <cell r="J59" t="str">
            <v>Aafes Group Health Voluntary Emplyees Beneficiary Assoc Trust</v>
          </cell>
          <cell r="K59" t="str">
            <v>AAFES Federal Credit Union</v>
          </cell>
          <cell r="O59" t="str">
            <v>IQ167528</v>
          </cell>
          <cell r="P59" t="str">
            <v>IQ142837991</v>
          </cell>
          <cell r="Q59" t="str">
            <v>IQ127424302</v>
          </cell>
        </row>
        <row r="60">
          <cell r="I60" t="str">
            <v>Best Foods, Inc.</v>
          </cell>
          <cell r="J60" t="str">
            <v>Unilever Foodsolutions, Inc.</v>
          </cell>
          <cell r="K60" t="str">
            <v>Unilever Bestfoods A/S</v>
          </cell>
          <cell r="L60" t="str">
            <v>Unilever Bestfoods De Argentina S.A.</v>
          </cell>
          <cell r="M60" t="str">
            <v>Unilever Bestfoods UK Ltd.</v>
          </cell>
          <cell r="O60" t="str">
            <v>IQ257794</v>
          </cell>
          <cell r="P60" t="str">
            <v>IQ39835995</v>
          </cell>
          <cell r="Q60" t="str">
            <v>IQ6084799</v>
          </cell>
          <cell r="R60" t="str">
            <v>IQ5435194</v>
          </cell>
          <cell r="S60" t="str">
            <v>IQ1469928</v>
          </cell>
        </row>
        <row r="61">
          <cell r="I61" t="str">
            <v>Interbrew International B.V.</v>
          </cell>
          <cell r="J61" t="str">
            <v>Anheuser-Busch InBev SA/NV</v>
          </cell>
          <cell r="K61" t="str">
            <v>InBev Belgium NV/SA</v>
          </cell>
          <cell r="L61" t="str">
            <v>AB InBev UK Limited</v>
          </cell>
          <cell r="M61" t="str">
            <v>Anheuser-Busch InBev Germany Holding GmbH</v>
          </cell>
          <cell r="O61" t="str">
            <v>IQ8125933</v>
          </cell>
          <cell r="P61" t="str">
            <v>IQ745257</v>
          </cell>
          <cell r="Q61" t="str">
            <v>IQ5488628</v>
          </cell>
          <cell r="R61" t="str">
            <v>IQ5473218</v>
          </cell>
          <cell r="S61" t="str">
            <v>IQ6197506</v>
          </cell>
        </row>
        <row r="62">
          <cell r="I62" t="str">
            <v>Panasonic Corporation</v>
          </cell>
          <cell r="J62" t="str">
            <v>Panasonic Healthcare Co., Ltd.</v>
          </cell>
          <cell r="K62" t="str">
            <v>Panasonic Corporation of North America, Inc.</v>
          </cell>
          <cell r="L62" t="str">
            <v>Panasonic Avionics Corporation</v>
          </cell>
          <cell r="M62" t="str">
            <v>Panasonic Electric Works Co., Ltd.</v>
          </cell>
          <cell r="O62" t="str">
            <v>IQ320433</v>
          </cell>
          <cell r="P62" t="str">
            <v>IQ878091</v>
          </cell>
          <cell r="Q62" t="str">
            <v>IQ92798</v>
          </cell>
          <cell r="R62" t="str">
            <v>IQ4205727</v>
          </cell>
          <cell r="S62" t="str">
            <v>IQ873839</v>
          </cell>
        </row>
        <row r="63">
          <cell r="I63" t="str">
            <v>Abercrombie &amp; Fitch Co.</v>
          </cell>
          <cell r="O63" t="str">
            <v>IQ353867</v>
          </cell>
        </row>
        <row r="64">
          <cell r="I64" t="str">
            <v>Academy Ltd.</v>
          </cell>
          <cell r="J64" t="str">
            <v>Wanamaker Baytown One, L.P., Academy Sports + Outdoors Store in Baytown</v>
          </cell>
          <cell r="K64" t="str">
            <v>Academy Sports + Outdoors in McKinney and Michaels Store in Wausau</v>
          </cell>
          <cell r="O64" t="str">
            <v>IQ4172464</v>
          </cell>
          <cell r="P64" t="str">
            <v>IQ143640649</v>
          </cell>
          <cell r="Q64" t="str">
            <v>IQ265971107</v>
          </cell>
        </row>
        <row r="65">
          <cell r="I65" t="str">
            <v>Advance Auto Parts Inc.</v>
          </cell>
          <cell r="J65" t="str">
            <v>Advance Auto Parts 401 K Plan - Stable Value Fund</v>
          </cell>
          <cell r="K65" t="str">
            <v>Property at 5615 Chalkville Road in Birmingham</v>
          </cell>
          <cell r="L65" t="str">
            <v>Two Advance Auto Part Stores located in Houston</v>
          </cell>
          <cell r="M65" t="str">
            <v>Fee Simple Interest in Two Advance Auto Parts Stores in Houston</v>
          </cell>
          <cell r="O65" t="str">
            <v>IQ24333</v>
          </cell>
          <cell r="P65" t="str">
            <v>IQ207118263</v>
          </cell>
          <cell r="Q65" t="str">
            <v>IQ260343236</v>
          </cell>
          <cell r="R65" t="str">
            <v>IQ141398897</v>
          </cell>
          <cell r="S65" t="str">
            <v>IQ141388369</v>
          </cell>
        </row>
        <row r="66">
          <cell r="I66" t="str">
            <v>Aéropostale, Inc.</v>
          </cell>
          <cell r="J66" t="str">
            <v>P.S. from Aéropostale, Inc.</v>
          </cell>
          <cell r="K66" t="str">
            <v>Aéropostale Canada, Inc.</v>
          </cell>
          <cell r="L66" t="str">
            <v>Aeropostal Alas de Venezuela C.A.</v>
          </cell>
          <cell r="M66" t="str">
            <v>Aerovias de Mexico, S.A. de C.V.</v>
          </cell>
          <cell r="O66" t="str">
            <v>IQ559148</v>
          </cell>
          <cell r="P66" t="str">
            <v>IQ130713047</v>
          </cell>
          <cell r="Q66" t="str">
            <v>IQ83017415</v>
          </cell>
          <cell r="R66" t="str">
            <v>IQ46984799</v>
          </cell>
          <cell r="S66" t="str">
            <v>IQ2947395</v>
          </cell>
        </row>
        <row r="67">
          <cell r="I67" t="str">
            <v>ANN INC.</v>
          </cell>
          <cell r="O67" t="str">
            <v>IQ24887</v>
          </cell>
        </row>
        <row r="68">
          <cell r="I68" t="str">
            <v>The Army &amp; Air Force Exchange Service</v>
          </cell>
          <cell r="J68" t="str">
            <v>Army and Air Force Exchange Service, Germany</v>
          </cell>
          <cell r="K68" t="str">
            <v>Retirement Annuity Plan for Employees of the Army and Air Force Exchange Service Trust</v>
          </cell>
          <cell r="O68" t="str">
            <v>IQ167528</v>
          </cell>
          <cell r="P68" t="str">
            <v>IQ214654482</v>
          </cell>
          <cell r="Q68" t="str">
            <v>IQ6070987</v>
          </cell>
        </row>
        <row r="69">
          <cell r="I69" t="str">
            <v>Bealls Department Stores, Inc.</v>
          </cell>
          <cell r="J69" t="str">
            <v>Beall's, Inc.</v>
          </cell>
          <cell r="K69" t="str">
            <v>Beall's Outlet Stores, Inc.</v>
          </cell>
          <cell r="L69" t="str">
            <v>Beall's Westgate Corporation</v>
          </cell>
          <cell r="M69" t="str">
            <v>Bealls Home</v>
          </cell>
          <cell r="O69" t="str">
            <v>IQ4220825</v>
          </cell>
          <cell r="P69" t="str">
            <v>IQ4204880</v>
          </cell>
          <cell r="Q69" t="str">
            <v>IQ4236912</v>
          </cell>
          <cell r="R69" t="str">
            <v>IQ4779204</v>
          </cell>
          <cell r="S69" t="str">
            <v>IQ27957909</v>
          </cell>
        </row>
        <row r="70">
          <cell r="I70" t="str">
            <v>Best Buy Co., Inc.</v>
          </cell>
          <cell r="J70" t="str">
            <v>Best Buy Capital</v>
          </cell>
          <cell r="K70" t="str">
            <v>Best Buy Canada Ltd.</v>
          </cell>
          <cell r="L70" t="str">
            <v>Best Buy</v>
          </cell>
          <cell r="M70" t="str">
            <v>Best Buy Company</v>
          </cell>
          <cell r="O70" t="str">
            <v>IQ255397</v>
          </cell>
          <cell r="P70" t="str">
            <v>IQ35429659</v>
          </cell>
          <cell r="Q70" t="str">
            <v>IQ4166678</v>
          </cell>
          <cell r="R70" t="str">
            <v>IQ7985511</v>
          </cell>
          <cell r="S70" t="str">
            <v>IQ113000244</v>
          </cell>
        </row>
        <row r="71">
          <cell r="I71" t="str">
            <v>Burlington Coat Factory Warehouse Corporation</v>
          </cell>
          <cell r="J71" t="str">
            <v>Burlington Coat Factory Warehouse Of Charleston, Inc.</v>
          </cell>
          <cell r="K71" t="str">
            <v>Burlington Coat Factory Warehouse Of Baytown, Inc.</v>
          </cell>
          <cell r="L71" t="str">
            <v>Burlington Coat Factory Warehouse Of Cleveland, Inc.</v>
          </cell>
          <cell r="M71" t="str">
            <v>Burlington Coat Factory Warehouse Of Redford, Inc.</v>
          </cell>
          <cell r="O71" t="str">
            <v>IQ30397130</v>
          </cell>
          <cell r="P71" t="str">
            <v>IQ30011590</v>
          </cell>
          <cell r="Q71" t="str">
            <v>IQ30011574</v>
          </cell>
          <cell r="R71" t="str">
            <v>IQ30011497</v>
          </cell>
          <cell r="S71" t="str">
            <v>IQ30011374</v>
          </cell>
        </row>
        <row r="72">
          <cell r="I72" t="str">
            <v>Canadian Tire Corp. Ltd.</v>
          </cell>
          <cell r="J72" t="str">
            <v>Canadian Tire Bank</v>
          </cell>
          <cell r="K72" t="str">
            <v>Canadian Tire Retail</v>
          </cell>
          <cell r="L72" t="str">
            <v>Canadian Tire Petroleum</v>
          </cell>
          <cell r="M72" t="str">
            <v>Canadian Tire Financial Services Limited</v>
          </cell>
          <cell r="O72" t="str">
            <v>IQ873636</v>
          </cell>
          <cell r="P72" t="str">
            <v>IQ25552787</v>
          </cell>
          <cell r="Q72" t="str">
            <v>IQ26689963</v>
          </cell>
          <cell r="R72" t="str">
            <v>IQ36221703</v>
          </cell>
          <cell r="S72" t="str">
            <v>IQ1023145</v>
          </cell>
        </row>
        <row r="73">
          <cell r="I73" t="str">
            <v>Carrefour SA</v>
          </cell>
          <cell r="J73" t="str">
            <v>CarrefourSA Carrefour Sabanci Ticaret Merkezi A.S.</v>
          </cell>
          <cell r="K73" t="str">
            <v>Carrefour France SAS</v>
          </cell>
          <cell r="L73" t="str">
            <v>PT. Carrefour Indonesia</v>
          </cell>
          <cell r="M73" t="str">
            <v>Grandes Superficies de Colombia S.A.</v>
          </cell>
          <cell r="O73" t="str">
            <v>IQ91638</v>
          </cell>
          <cell r="P73" t="str">
            <v>IQ22249490</v>
          </cell>
          <cell r="Q73" t="str">
            <v>IQ5466945</v>
          </cell>
          <cell r="R73" t="str">
            <v>IQ26465846</v>
          </cell>
          <cell r="S73" t="str">
            <v>IQ5687005</v>
          </cell>
        </row>
        <row r="74">
          <cell r="I74" t="str">
            <v>C I Hermeco S A</v>
          </cell>
          <cell r="O74" t="str">
            <v>IQ109318655</v>
          </cell>
        </row>
        <row r="75">
          <cell r="I75" t="str">
            <v>Coldwater Creek Inc.</v>
          </cell>
          <cell r="J75" t="str">
            <v>Coldwater Creek U.S. Inc.</v>
          </cell>
          <cell r="K75" t="str">
            <v>Coldwater Creek Sourcing Inc.</v>
          </cell>
          <cell r="L75" t="str">
            <v>Coldwater Creek Merchandising &amp; Logistics Inc.</v>
          </cell>
          <cell r="M75" t="str">
            <v>Coldwater Creek Outlet Stores, Inc.</v>
          </cell>
          <cell r="O75" t="str">
            <v>IQ354644</v>
          </cell>
          <cell r="P75" t="str">
            <v>IQ83477640</v>
          </cell>
          <cell r="Q75" t="str">
            <v>IQ233354538</v>
          </cell>
          <cell r="R75" t="str">
            <v>IQ54729822</v>
          </cell>
          <cell r="S75" t="str">
            <v>IQ26536509</v>
          </cell>
        </row>
        <row r="76">
          <cell r="I76" t="str">
            <v>Cost Plus Inc.</v>
          </cell>
          <cell r="J76" t="str">
            <v>Cost Plus Enterprises Inc.</v>
          </cell>
          <cell r="K76" t="str">
            <v>Cost Plus Management Services, Inc</v>
          </cell>
          <cell r="L76" t="str">
            <v>Cost Plus of Texas, Inc.</v>
          </cell>
          <cell r="M76" t="str">
            <v>Cost Plus of Idaho, Inc.</v>
          </cell>
          <cell r="O76" t="str">
            <v>IQ157100</v>
          </cell>
          <cell r="P76" t="str">
            <v>IQ705566</v>
          </cell>
          <cell r="Q76" t="str">
            <v>IQ47267396</v>
          </cell>
          <cell r="R76" t="str">
            <v>IQ46099702</v>
          </cell>
          <cell r="S76" t="str">
            <v>IQ46099679</v>
          </cell>
        </row>
        <row r="77">
          <cell r="I77" t="str">
            <v>Oxylane Group</v>
          </cell>
          <cell r="J77" t="str">
            <v>Decathlon UK Limited</v>
          </cell>
          <cell r="K77" t="str">
            <v>Decathlon Sportspezialvertriebsges. Mbh</v>
          </cell>
          <cell r="L77" t="str">
            <v>Decathlon RE Harbor Beach LLC</v>
          </cell>
          <cell r="M77" t="str">
            <v>Decathlon Sports India</v>
          </cell>
          <cell r="O77" t="str">
            <v>IQ2249580</v>
          </cell>
          <cell r="P77" t="str">
            <v>IQ30467858</v>
          </cell>
          <cell r="Q77" t="str">
            <v>IQ47275718</v>
          </cell>
          <cell r="R77" t="str">
            <v>IQ222430159</v>
          </cell>
          <cell r="S77" t="str">
            <v>IQ244790187</v>
          </cell>
        </row>
        <row r="78">
          <cell r="I78" t="str">
            <v>Dick's Sporting Goods Inc.</v>
          </cell>
          <cell r="J78" t="str">
            <v>Dick's Sporting Goods in Cranberry Township, Pennsylvania</v>
          </cell>
          <cell r="K78" t="str">
            <v>Dick's Sporting Goods, Inc., Asset Management Arm</v>
          </cell>
          <cell r="O78" t="str">
            <v>IQ27561</v>
          </cell>
          <cell r="P78" t="str">
            <v>IQ244479703</v>
          </cell>
          <cell r="Q78" t="str">
            <v>IQ54097066</v>
          </cell>
        </row>
        <row r="79">
          <cell r="I79" t="str">
            <v>The Dressbarn, Inc.</v>
          </cell>
          <cell r="J79" t="str">
            <v>Ascena Retail Group Inc.</v>
          </cell>
          <cell r="K79" t="str">
            <v>Dress Barn Credit Management, LLC</v>
          </cell>
          <cell r="O79" t="str">
            <v>IQ207302479</v>
          </cell>
          <cell r="P79" t="str">
            <v>IQ267344</v>
          </cell>
          <cell r="Q79" t="str">
            <v>IQ25018644</v>
          </cell>
        </row>
        <row r="80">
          <cell r="I80" t="str">
            <v>Finish Line Inc.</v>
          </cell>
          <cell r="J80" t="str">
            <v>Finishline Supply, Inc.</v>
          </cell>
          <cell r="K80" t="str">
            <v>Finish Line Technologies, Inc.</v>
          </cell>
          <cell r="L80" t="str">
            <v>The Finish Line USA, Inc.</v>
          </cell>
          <cell r="M80" t="str">
            <v>Finish Line Solutions, Inc.</v>
          </cell>
          <cell r="O80" t="str">
            <v>IQ317774</v>
          </cell>
          <cell r="P80" t="str">
            <v>IQ58676909</v>
          </cell>
          <cell r="Q80" t="str">
            <v>IQ108997603</v>
          </cell>
          <cell r="R80" t="str">
            <v>IQ20849712</v>
          </cell>
          <cell r="S80" t="str">
            <v>IQ100411239</v>
          </cell>
        </row>
        <row r="81">
          <cell r="I81" t="str">
            <v>Food Lion, LLC</v>
          </cell>
          <cell r="J81" t="str">
            <v>Delhaize America, LLC</v>
          </cell>
          <cell r="K81" t="str">
            <v>FL Food Lion, Inc.</v>
          </cell>
          <cell r="L81" t="str">
            <v>Food Lion Shopping Center in Raleigh</v>
          </cell>
          <cell r="M81" t="str">
            <v>Food Lion (Thailand) Ltd.</v>
          </cell>
          <cell r="O81" t="str">
            <v>IQ4225014</v>
          </cell>
          <cell r="P81" t="str">
            <v>IQ273330</v>
          </cell>
          <cell r="Q81" t="str">
            <v>IQ36548992</v>
          </cell>
          <cell r="R81" t="str">
            <v>IQ245665704</v>
          </cell>
          <cell r="S81" t="str">
            <v>IQ11099596</v>
          </cell>
        </row>
        <row r="82">
          <cell r="I82" t="str">
            <v>Foot Locker, Inc.</v>
          </cell>
          <cell r="J82" t="str">
            <v>Foot Locker Retail, Inc.</v>
          </cell>
          <cell r="K82" t="str">
            <v>Foot Locker Canada Co.</v>
          </cell>
          <cell r="L82" t="str">
            <v>Foot Locker Netherlands B.V.</v>
          </cell>
          <cell r="M82" t="str">
            <v>Foot Locker Italy Srl</v>
          </cell>
          <cell r="O82" t="str">
            <v>IQ315394</v>
          </cell>
          <cell r="P82" t="str">
            <v>IQ4224763</v>
          </cell>
          <cell r="Q82" t="str">
            <v>IQ4717008</v>
          </cell>
          <cell r="R82" t="str">
            <v>IQ46305889</v>
          </cell>
          <cell r="S82" t="str">
            <v>IQ5687164</v>
          </cell>
        </row>
        <row r="83">
          <cell r="I83" t="str">
            <v>Gale Pacific Limited</v>
          </cell>
          <cell r="J83" t="str">
            <v>The Gap, Inc.</v>
          </cell>
          <cell r="K83" t="str">
            <v>G&amp;A Partners, Inc.</v>
          </cell>
          <cell r="L83" t="str">
            <v>Grupo Aeroportuario del Pacifico S.A.B. de CV</v>
          </cell>
          <cell r="M83" t="str">
            <v>Gap (Apparel), LLC</v>
          </cell>
          <cell r="O83" t="str">
            <v>IQ166601</v>
          </cell>
          <cell r="P83" t="str">
            <v>IQ274265</v>
          </cell>
          <cell r="Q83" t="str">
            <v>IQ4520555</v>
          </cell>
          <cell r="R83" t="str">
            <v>IQ10331338</v>
          </cell>
          <cell r="S83" t="str">
            <v>IQ33494303</v>
          </cell>
        </row>
        <row r="84">
          <cell r="I84" t="str">
            <v>Groupe Adeo S.A.</v>
          </cell>
          <cell r="J84" t="str">
            <v>Groupe Adeo &amp; Cie Valadeo</v>
          </cell>
          <cell r="O84" t="str">
            <v>IQ47240406</v>
          </cell>
          <cell r="P84" t="str">
            <v>IQ134463938</v>
          </cell>
        </row>
        <row r="85">
          <cell r="I85" t="str">
            <v>Guess? Inc.</v>
          </cell>
          <cell r="J85" t="str">
            <v>Guess Italia, Srl</v>
          </cell>
          <cell r="K85" t="str">
            <v>Guess? Euro-Canada, B.V.</v>
          </cell>
          <cell r="L85" t="str">
            <v>Guess? Canada Corporation</v>
          </cell>
          <cell r="M85" t="str">
            <v>Guess? Canada Retail, Inc.</v>
          </cell>
          <cell r="O85" t="str">
            <v>IQ348699</v>
          </cell>
          <cell r="P85" t="str">
            <v>IQ12174218</v>
          </cell>
          <cell r="Q85" t="str">
            <v>IQ83523930</v>
          </cell>
          <cell r="R85" t="str">
            <v>IQ4399932</v>
          </cell>
          <cell r="S85" t="str">
            <v>IQ26360044</v>
          </cell>
        </row>
        <row r="86">
          <cell r="I86" t="str">
            <v>The Gymboree Corporation</v>
          </cell>
          <cell r="J86" t="str">
            <v>Gymboree, Inc.</v>
          </cell>
          <cell r="K86" t="str">
            <v>Gymboree Co., Ltd.</v>
          </cell>
          <cell r="L86" t="str">
            <v>Gymboree (China) Commercial and Trading Co. Ltd</v>
          </cell>
          <cell r="M86" t="str">
            <v>Gymboree Retail Stores, Inc.</v>
          </cell>
          <cell r="O86" t="str">
            <v>IQ29232</v>
          </cell>
          <cell r="P86" t="str">
            <v>IQ23722238</v>
          </cell>
          <cell r="Q86" t="str">
            <v>IQ227959591</v>
          </cell>
          <cell r="R86" t="str">
            <v>IQ206693455</v>
          </cell>
          <cell r="S86" t="str">
            <v>IQ23722187</v>
          </cell>
        </row>
        <row r="87">
          <cell r="I87" t="str">
            <v>Harris Teeter Supermarkets, Inc.</v>
          </cell>
          <cell r="J87" t="str">
            <v>Harris Teeter, Inc.</v>
          </cell>
          <cell r="K87" t="str">
            <v>Harris Teeter Supermarket in Charlotte, North Carolina</v>
          </cell>
          <cell r="L87" t="str">
            <v>Harris Teeter Properties, LLC</v>
          </cell>
          <cell r="M87" t="str">
            <v>Harris-Teeter Services, Inc.</v>
          </cell>
          <cell r="O87" t="str">
            <v>IQ142703</v>
          </cell>
          <cell r="P87" t="str">
            <v>IQ893806</v>
          </cell>
          <cell r="Q87" t="str">
            <v>IQ225998778</v>
          </cell>
          <cell r="R87" t="str">
            <v>IQ216915748</v>
          </cell>
          <cell r="S87" t="str">
            <v>IQ216912474</v>
          </cell>
        </row>
        <row r="88">
          <cell r="I88" t="str">
            <v>hhgregg, Inc.</v>
          </cell>
          <cell r="J88" t="str">
            <v>HHGregg, Inc. Building at 1401 Piney Plains Road in Cary</v>
          </cell>
          <cell r="O88" t="str">
            <v>IQ13648539</v>
          </cell>
          <cell r="P88" t="str">
            <v>IQ231941165</v>
          </cell>
        </row>
        <row r="89">
          <cell r="I89" t="str">
            <v>Jos. A Bank Clothiers Inc.</v>
          </cell>
          <cell r="O89" t="str">
            <v>IQ30418</v>
          </cell>
        </row>
        <row r="90">
          <cell r="I90" t="str">
            <v>Kibe Sa</v>
          </cell>
          <cell r="J90" t="str">
            <v>Kibel Green Inc.</v>
          </cell>
          <cell r="K90" t="str">
            <v>Kimberly-Clark Corporation</v>
          </cell>
          <cell r="L90" t="str">
            <v>Kibe Oy</v>
          </cell>
          <cell r="M90" t="str">
            <v>KB Electronics, Inc.</v>
          </cell>
          <cell r="O90" t="str">
            <v>IQ22185291</v>
          </cell>
          <cell r="P90" t="str">
            <v>IQ4282062</v>
          </cell>
          <cell r="Q90" t="str">
            <v>IQ283857</v>
          </cell>
          <cell r="R90" t="str">
            <v>IQ223778120</v>
          </cell>
          <cell r="S90" t="str">
            <v>IQ6847945</v>
          </cell>
        </row>
        <row r="91">
          <cell r="I91" t="str">
            <v>Kmart Corporation</v>
          </cell>
          <cell r="J91" t="str">
            <v>Sears Holdings Corporation</v>
          </cell>
          <cell r="K91" t="str">
            <v>K-Mart</v>
          </cell>
          <cell r="L91" t="str">
            <v>KMART Australia Limited</v>
          </cell>
          <cell r="M91" t="str">
            <v>Kmart Holding Corporation</v>
          </cell>
          <cell r="O91" t="str">
            <v>IQ82021227</v>
          </cell>
          <cell r="P91" t="str">
            <v>IQ7675730</v>
          </cell>
          <cell r="Q91" t="str">
            <v>IQ204772402</v>
          </cell>
          <cell r="R91" t="str">
            <v>IQ22499352</v>
          </cell>
          <cell r="S91" t="str">
            <v>IQ138687080</v>
          </cell>
        </row>
        <row r="92">
          <cell r="I92" t="str">
            <v>L Brands, Inc.</v>
          </cell>
          <cell r="J92" t="str">
            <v>Private Sale GmbH</v>
          </cell>
          <cell r="K92" t="str">
            <v>Brandscreen Pte Ltd.</v>
          </cell>
          <cell r="L92" t="str">
            <v>Limited Brands Store Operations, Inc.</v>
          </cell>
          <cell r="M92" t="str">
            <v>Brands For Friends</v>
          </cell>
          <cell r="O92" t="str">
            <v>IQ285544</v>
          </cell>
          <cell r="P92" t="str">
            <v>IQ38746098</v>
          </cell>
          <cell r="Q92" t="str">
            <v>IQ113025934</v>
          </cell>
          <cell r="R92" t="str">
            <v>IQ33598254</v>
          </cell>
          <cell r="S92" t="str">
            <v>IQ224041495</v>
          </cell>
        </row>
        <row r="93">
          <cell r="I93" t="str">
            <v>Liquor Control Board of Ontario</v>
          </cell>
          <cell r="O93" t="str">
            <v>IQ7714734</v>
          </cell>
        </row>
        <row r="94">
          <cell r="I94" t="str">
            <v>Maurices Incorporated</v>
          </cell>
          <cell r="J94" t="str">
            <v>Maurice Sporting Goods, Inc.</v>
          </cell>
          <cell r="K94" t="str">
            <v>Maurices Credit Management, Inc.</v>
          </cell>
          <cell r="L94" t="str">
            <v>Maurices Ice-Cream</v>
          </cell>
          <cell r="M94" t="str">
            <v>Maurice Schwartz &amp; Sons Inc.</v>
          </cell>
          <cell r="O94" t="str">
            <v>IQ12663382</v>
          </cell>
          <cell r="P94" t="str">
            <v>IQ4248803</v>
          </cell>
          <cell r="Q94" t="str">
            <v>IQ131250025</v>
          </cell>
          <cell r="R94" t="str">
            <v>IQ127573041</v>
          </cell>
          <cell r="S94" t="str">
            <v>IQ6545484</v>
          </cell>
        </row>
        <row r="95">
          <cell r="I95" t="str">
            <v>The Men's Wearhouse, Inc.</v>
          </cell>
          <cell r="J95" t="str">
            <v>Men's Wearhouse in Houston</v>
          </cell>
          <cell r="K95" t="str">
            <v>The Men's Wearhouse of Texas LP</v>
          </cell>
          <cell r="L95" t="str">
            <v>The Men's Wearhouse of Michigan, Inc.</v>
          </cell>
          <cell r="O95" t="str">
            <v>IQ317668</v>
          </cell>
          <cell r="P95" t="str">
            <v>IQ243153689</v>
          </cell>
          <cell r="Q95" t="str">
            <v>IQ24403968</v>
          </cell>
          <cell r="R95" t="str">
            <v>IQ24403787</v>
          </cell>
        </row>
        <row r="96">
          <cell r="I96" t="str">
            <v>Navy Exchange Service Command</v>
          </cell>
          <cell r="J96" t="str">
            <v>Navy Exchange Service Command Retirement Trust</v>
          </cell>
          <cell r="O96" t="str">
            <v>IQ4161943</v>
          </cell>
          <cell r="P96" t="str">
            <v>IQ108917977</v>
          </cell>
        </row>
        <row r="97">
          <cell r="I97" t="str">
            <v>Nordstrom Inc.</v>
          </cell>
          <cell r="J97" t="str">
            <v>Nordstrom fsb</v>
          </cell>
          <cell r="K97" t="str">
            <v>Nordströms Sverige Ab</v>
          </cell>
          <cell r="L97" t="str">
            <v>Nordstrom.com</v>
          </cell>
          <cell r="M97" t="str">
            <v>Nordstrom Credit Inc.</v>
          </cell>
          <cell r="O97" t="str">
            <v>IQ32215</v>
          </cell>
          <cell r="P97" t="str">
            <v>IQ25916209</v>
          </cell>
          <cell r="Q97" t="str">
            <v>IQ107242496</v>
          </cell>
          <cell r="R97" t="str">
            <v>IQ2173141</v>
          </cell>
          <cell r="S97" t="str">
            <v>IQ3067679</v>
          </cell>
        </row>
        <row r="98">
          <cell r="I98" t="str">
            <v>Office Depot, Inc.</v>
          </cell>
          <cell r="J98" t="str">
            <v>Office Depot de México S.A. de C.V.</v>
          </cell>
          <cell r="K98" t="str">
            <v>Office Depot Deutschland Gmbh</v>
          </cell>
          <cell r="L98" t="str">
            <v>Office Depot Netherlands B.V.</v>
          </cell>
          <cell r="M98" t="str">
            <v>Office Depot UK Limited</v>
          </cell>
          <cell r="O98" t="str">
            <v>IQ32356</v>
          </cell>
          <cell r="P98" t="str">
            <v>IQ22512328</v>
          </cell>
          <cell r="Q98" t="str">
            <v>IQ22799913</v>
          </cell>
          <cell r="R98" t="str">
            <v>IQ9768937</v>
          </cell>
          <cell r="S98" t="str">
            <v>IQ5499088</v>
          </cell>
        </row>
        <row r="99">
          <cell r="I99" t="str">
            <v>Pacific Sunwear of California Inc.</v>
          </cell>
          <cell r="O99" t="str">
            <v>IQ32625</v>
          </cell>
        </row>
        <row r="100">
          <cell r="I100" t="str">
            <v>Payless ShoeSource, Inc.</v>
          </cell>
          <cell r="J100" t="str">
            <v>Payless Inc.</v>
          </cell>
          <cell r="K100" t="str">
            <v>Payless ShoeSource Worldwide, Inc.</v>
          </cell>
          <cell r="L100" t="str">
            <v>Payless Finance, Inc.</v>
          </cell>
          <cell r="M100" t="str">
            <v>Payless ShoeSource Merchandising, Inc.</v>
          </cell>
          <cell r="O100" t="str">
            <v>IQ6450382</v>
          </cell>
          <cell r="P100" t="str">
            <v>IQ350153</v>
          </cell>
          <cell r="Q100" t="str">
            <v>IQ29834482</v>
          </cell>
          <cell r="R100" t="str">
            <v>IQ4937871</v>
          </cell>
          <cell r="S100" t="str">
            <v>IQ4290115</v>
          </cell>
        </row>
        <row r="101">
          <cell r="I101" t="str">
            <v>PETCO Animal Supplies, Inc.</v>
          </cell>
          <cell r="J101" t="str">
            <v>PETCO Animal Supplies Stores, Inc.</v>
          </cell>
          <cell r="O101" t="str">
            <v>IQ32901</v>
          </cell>
          <cell r="P101" t="str">
            <v>IQ26722611</v>
          </cell>
        </row>
        <row r="102">
          <cell r="I102" t="str">
            <v>Sears Holdings Corporation</v>
          </cell>
          <cell r="J102" t="str">
            <v>Sears Holdings Management Corporation</v>
          </cell>
          <cell r="K102" t="str">
            <v>Sears Holdings Corporation, 135,000 Square Foot Site at Polaris</v>
          </cell>
          <cell r="L102" t="str">
            <v>Sears Holdings Pension Trust</v>
          </cell>
          <cell r="M102" t="str">
            <v>Lands' End, Inc.</v>
          </cell>
          <cell r="O102" t="str">
            <v>IQ7675730</v>
          </cell>
          <cell r="P102" t="str">
            <v>IQ47371617</v>
          </cell>
          <cell r="Q102" t="str">
            <v>IQ217499591</v>
          </cell>
          <cell r="R102" t="str">
            <v>IQ271995901</v>
          </cell>
          <cell r="S102" t="str">
            <v>IQ285185</v>
          </cell>
        </row>
        <row r="103">
          <cell r="I103" t="str">
            <v>Sears Canada Inc.</v>
          </cell>
          <cell r="J103" t="str">
            <v>Sears Canada Holdings Corp.</v>
          </cell>
          <cell r="K103" t="str">
            <v>Sears Canada Bank</v>
          </cell>
          <cell r="L103" t="str">
            <v>Sears Canada Acceptance Inc.</v>
          </cell>
          <cell r="M103" t="str">
            <v>Sears Canada Merchandising Services</v>
          </cell>
          <cell r="O103" t="str">
            <v>IQ873894</v>
          </cell>
          <cell r="P103" t="str">
            <v>IQ59032861</v>
          </cell>
          <cell r="Q103" t="str">
            <v>IQ22678752</v>
          </cell>
          <cell r="R103" t="str">
            <v>IQ140711146</v>
          </cell>
          <cell r="S103" t="str">
            <v>IQ6613619</v>
          </cell>
        </row>
        <row r="104">
          <cell r="I104" t="str">
            <v>Sears Holdings Corporation</v>
          </cell>
          <cell r="J104" t="str">
            <v>Sears Canada Inc.</v>
          </cell>
          <cell r="K104" t="str">
            <v>Sears Hometown and Outlet Stores, Inc.</v>
          </cell>
          <cell r="L104" t="str">
            <v>Sears, Roebuck and Co.</v>
          </cell>
          <cell r="M104" t="str">
            <v>Sears Home Improvement Products, Inc.</v>
          </cell>
          <cell r="O104" t="str">
            <v>IQ7675730</v>
          </cell>
          <cell r="P104" t="str">
            <v>IQ873894</v>
          </cell>
          <cell r="Q104" t="str">
            <v>IQ171547354</v>
          </cell>
          <cell r="R104" t="str">
            <v>IQ95055</v>
          </cell>
          <cell r="S104" t="str">
            <v>IQ4258419</v>
          </cell>
        </row>
        <row r="105">
          <cell r="I105" t="str">
            <v>Lands' End, Inc.</v>
          </cell>
          <cell r="J105" t="str">
            <v>Lands End Acquisition Corporation</v>
          </cell>
          <cell r="K105" t="str">
            <v>Lands' End Business Outfitters, Inc.</v>
          </cell>
          <cell r="L105" t="str">
            <v>Lands End Inc Employee Benefit Trust</v>
          </cell>
          <cell r="M105" t="str">
            <v>Lands End Publishing Ltd.</v>
          </cell>
          <cell r="O105" t="str">
            <v>IQ285185</v>
          </cell>
          <cell r="P105" t="str">
            <v>IQ251786915</v>
          </cell>
          <cell r="Q105" t="str">
            <v>IQ251728855</v>
          </cell>
          <cell r="R105" t="str">
            <v>IQ127473428</v>
          </cell>
          <cell r="S105" t="str">
            <v>IQ30824044</v>
          </cell>
        </row>
        <row r="106">
          <cell r="I106" t="str">
            <v>Sephora USA, Inc.</v>
          </cell>
          <cell r="O106" t="str">
            <v>IQ34217</v>
          </cell>
        </row>
        <row r="107">
          <cell r="I107" t="str">
            <v>Shoe Carnival Inc.</v>
          </cell>
          <cell r="J107" t="str">
            <v>Shoe Carnival Distribution Center</v>
          </cell>
          <cell r="O107" t="str">
            <v>IQ324135</v>
          </cell>
          <cell r="P107" t="str">
            <v>IQ256475750</v>
          </cell>
        </row>
        <row r="108">
          <cell r="I108" t="str">
            <v>The Sports Authority, Inc.</v>
          </cell>
          <cell r="J108" t="str">
            <v>TSA Stores, Inc.</v>
          </cell>
          <cell r="K108" t="str">
            <v>The Sports Authority Limited</v>
          </cell>
          <cell r="L108" t="str">
            <v>Fw Sports Authority, Inc</v>
          </cell>
          <cell r="M108" t="str">
            <v>The Sports Authority Canada Inc.</v>
          </cell>
          <cell r="O108" t="str">
            <v>IQ28835</v>
          </cell>
          <cell r="P108" t="str">
            <v>IQ34682</v>
          </cell>
          <cell r="Q108" t="str">
            <v>IQ30400858</v>
          </cell>
          <cell r="R108" t="str">
            <v>IQ25221788</v>
          </cell>
          <cell r="S108" t="str">
            <v>IQ4509611</v>
          </cell>
        </row>
        <row r="109">
          <cell r="I109" t="str">
            <v>Toys "R" Us Holdings, Inc.</v>
          </cell>
          <cell r="J109" t="str">
            <v>Toys "R" Us Holdings Limited</v>
          </cell>
          <cell r="O109" t="str">
            <v>IQ32781611</v>
          </cell>
          <cell r="P109" t="str">
            <v>IQ5490247</v>
          </cell>
        </row>
        <row r="110">
          <cell r="I110" t="str">
            <v>The Wet Seal, Inc.</v>
          </cell>
          <cell r="J110" t="str">
            <v>Wet Seal Catalog, Inc</v>
          </cell>
          <cell r="K110" t="str">
            <v>Wet Seal Retail Inc.</v>
          </cell>
          <cell r="O110" t="str">
            <v>IQ315810</v>
          </cell>
          <cell r="P110" t="str">
            <v>IQ26978300</v>
          </cell>
          <cell r="Q110" t="str">
            <v>IQ1051388</v>
          </cell>
        </row>
        <row r="111">
          <cell r="I111" t="str">
            <v>Williams-Sonoma Inc.</v>
          </cell>
          <cell r="J111" t="str">
            <v>Williams-Sonoma Canada, Inc.</v>
          </cell>
          <cell r="K111" t="str">
            <v>Williams Sonoma Direct, Inc.</v>
          </cell>
          <cell r="L111" t="str">
            <v>Pottery Barn, Inc.</v>
          </cell>
          <cell r="M111" t="str">
            <v>Williams-Sonoma Singapore Pte. Ltd.</v>
          </cell>
          <cell r="O111" t="str">
            <v>IQ314400</v>
          </cell>
          <cell r="P111" t="str">
            <v>IQ39219359</v>
          </cell>
          <cell r="Q111" t="str">
            <v>IQ24807042</v>
          </cell>
          <cell r="R111" t="str">
            <v>IQ7902629</v>
          </cell>
          <cell r="S111" t="str">
            <v>IQ234029881</v>
          </cell>
        </row>
        <row r="112">
          <cell r="I112" t="str">
            <v>Yankee Candle Investments LLC</v>
          </cell>
          <cell r="O112" t="str">
            <v>IQ145216743</v>
          </cell>
        </row>
      </sheetData>
      <sheetData sheetId="1">
        <row r="12">
          <cell r="I12" t="str">
            <v>Cook, Timothy</v>
          </cell>
          <cell r="J12" t="str">
            <v>Cook, Timothy</v>
          </cell>
          <cell r="K12" t="str">
            <v>Cook, Tim</v>
          </cell>
          <cell r="L12" t="str">
            <v>Cook, Timothy</v>
          </cell>
          <cell r="O12" t="str">
            <v>IQ169601</v>
          </cell>
          <cell r="P12" t="str">
            <v>IQ140507950</v>
          </cell>
          <cell r="Q12" t="str">
            <v>IQ24933425</v>
          </cell>
          <cell r="R12" t="str">
            <v>IQ24903039</v>
          </cell>
        </row>
        <row r="13">
          <cell r="I13" t="str">
            <v>Gates, William</v>
          </cell>
          <cell r="J13" t="str">
            <v>Gates, William</v>
          </cell>
          <cell r="K13" t="str">
            <v>Gates, William</v>
          </cell>
          <cell r="L13" t="str">
            <v>Gates, Bill</v>
          </cell>
          <cell r="M13" t="str">
            <v>Gates, William</v>
          </cell>
          <cell r="O13" t="str">
            <v>IQ999647</v>
          </cell>
          <cell r="P13" t="str">
            <v>IQ4882076</v>
          </cell>
          <cell r="Q13" t="str">
            <v>IQ13288729</v>
          </cell>
          <cell r="R13" t="str">
            <v>IQ61538995</v>
          </cell>
          <cell r="S13" t="str">
            <v>IQ641637</v>
          </cell>
        </row>
        <row r="14">
          <cell r="I14" t="str">
            <v>McGraw, Harold</v>
          </cell>
          <cell r="J14" t="str">
            <v>McGraw, Terry</v>
          </cell>
          <cell r="K14" t="str">
            <v>McGraw, Douglas</v>
          </cell>
          <cell r="L14" t="str">
            <v>McGraw, Deirdre</v>
          </cell>
          <cell r="O14" t="str">
            <v>IQ181697</v>
          </cell>
          <cell r="P14" t="str">
            <v>IQ53273963</v>
          </cell>
          <cell r="Q14" t="str">
            <v>IQ225414720</v>
          </cell>
          <cell r="R14" t="str">
            <v>IQ32945032</v>
          </cell>
        </row>
        <row r="15">
          <cell r="I15" t="str">
            <v>Dayakar, G.</v>
          </cell>
          <cell r="J15" t="str">
            <v>Dayakar, Talluru</v>
          </cell>
          <cell r="K15" t="str">
            <v>Dayakar, G.</v>
          </cell>
          <cell r="O15" t="str">
            <v>IQ205570894</v>
          </cell>
          <cell r="P15" t="str">
            <v>IQ47584372</v>
          </cell>
          <cell r="Q15" t="str">
            <v>IQ25360032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Companies"/>
      <sheetName val="People"/>
    </sheetNames>
    <sheetDataSet>
      <sheetData sheetId="0" refreshError="1"/>
      <sheetData sheetId="1">
        <row r="12">
          <cell r="I12" t="str">
            <v>Google Inc.</v>
          </cell>
        </row>
        <row r="29">
          <cell r="I29" t="str">
            <v>University of Maryland</v>
          </cell>
          <cell r="J29" t="str">
            <v>University Of Maryland Medical System Corporation</v>
          </cell>
          <cell r="K29" t="str">
            <v>University of Maryland School of Medicine</v>
          </cell>
          <cell r="L29" t="str">
            <v>University Of Maryland Medical Center</v>
          </cell>
          <cell r="O29" t="str">
            <v>IQ4036329</v>
          </cell>
          <cell r="P29" t="str">
            <v>IQ4173086</v>
          </cell>
          <cell r="Q29" t="str">
            <v>IQ7618484</v>
          </cell>
          <cell r="R29" t="str">
            <v>IQ22408579</v>
          </cell>
        </row>
        <row r="41">
          <cell r="I41" t="str">
            <v>Alabama A&amp;M University</v>
          </cell>
          <cell r="J41" t="str">
            <v>Alabama A&amp;M University Foundation L.L.C.</v>
          </cell>
          <cell r="O41" t="str">
            <v>IQ4392398</v>
          </cell>
          <cell r="P41" t="str">
            <v>IQ139266990</v>
          </cell>
        </row>
        <row r="42">
          <cell r="I42" t="str">
            <v>University of Alabama at Birmingham</v>
          </cell>
          <cell r="J42" t="str">
            <v>University of Alabama at Birmingham School of Nursing, Endowment Arm</v>
          </cell>
          <cell r="K42" t="str">
            <v>University of Alabama at Birmingham School of Nursing</v>
          </cell>
          <cell r="L42" t="str">
            <v>University of Alabama at Birmingham School of Public Health</v>
          </cell>
          <cell r="M42" t="str">
            <v>UAB Health System</v>
          </cell>
          <cell r="O42" t="str">
            <v>IQ4099750</v>
          </cell>
          <cell r="P42" t="str">
            <v>IQ244948673</v>
          </cell>
          <cell r="Q42" t="str">
            <v>IQ244119105</v>
          </cell>
          <cell r="R42" t="str">
            <v>IQ13334759</v>
          </cell>
          <cell r="S42" t="str">
            <v>IQ12003095</v>
          </cell>
        </row>
        <row r="43">
          <cell r="I43" t="str">
            <v>University Of Alabama</v>
          </cell>
          <cell r="J43" t="str">
            <v>University of Alabama at Birmingham</v>
          </cell>
          <cell r="K43" t="str">
            <v>University of Alabama Hospital</v>
          </cell>
          <cell r="L43" t="str">
            <v>University of Alabama, Huntsville</v>
          </cell>
          <cell r="M43" t="str">
            <v>University of Alabama System, The</v>
          </cell>
          <cell r="O43" t="str">
            <v>IQ4148379</v>
          </cell>
          <cell r="P43" t="str">
            <v>IQ4099750</v>
          </cell>
          <cell r="Q43" t="str">
            <v>IQ138913708</v>
          </cell>
          <cell r="R43" t="str">
            <v>IQ6185876</v>
          </cell>
          <cell r="S43" t="str">
            <v>IQ4422665</v>
          </cell>
        </row>
        <row r="50">
          <cell r="I50" t="str">
            <v>Auburn University</v>
          </cell>
          <cell r="O50" t="str">
            <v>IQ4095445</v>
          </cell>
        </row>
        <row r="54">
          <cell r="I54" t="str">
            <v>Gadsden State Community College</v>
          </cell>
          <cell r="O54" t="str">
            <v>IQ38985258</v>
          </cell>
        </row>
        <row r="113">
          <cell r="I113" t="str">
            <v>Arkansas Tech University</v>
          </cell>
          <cell r="J113" t="str">
            <v>Arkansas Tech University - Ozark Campus</v>
          </cell>
          <cell r="K113" t="str">
            <v>Arkansas Tech University Revenue</v>
          </cell>
          <cell r="O113" t="str">
            <v>IQ6043730</v>
          </cell>
          <cell r="P113" t="str">
            <v>IQ116964867</v>
          </cell>
          <cell r="Q113" t="str">
            <v>IQ57980960</v>
          </cell>
        </row>
        <row r="114">
          <cell r="I114" t="str">
            <v>University of Arkansas at Monticello</v>
          </cell>
          <cell r="O114" t="str">
            <v>IQ39861365</v>
          </cell>
        </row>
        <row r="116">
          <cell r="I116" t="str">
            <v>University of Central Arkansas Foundation, Inc.</v>
          </cell>
          <cell r="J116" t="str">
            <v>University Of Central Arkansas, Endowment Arm</v>
          </cell>
          <cell r="K116" t="str">
            <v>University of Central Arkansas Board of Trustees</v>
          </cell>
          <cell r="O116" t="str">
            <v>IQ252616575</v>
          </cell>
          <cell r="P116" t="str">
            <v>IQ118642492</v>
          </cell>
          <cell r="Q116" t="str">
            <v>IQ58029356</v>
          </cell>
        </row>
        <row r="119">
          <cell r="I119" t="str">
            <v>East Arkansas Community College</v>
          </cell>
          <cell r="O119" t="str">
            <v>IQ36830268</v>
          </cell>
        </row>
        <row r="122">
          <cell r="I122" t="str">
            <v>Henderson State University Federal Credit Union</v>
          </cell>
          <cell r="J122" t="str">
            <v>Henderson State University Arkansas Housing System Revenue</v>
          </cell>
          <cell r="K122" t="str">
            <v>Henderson State University Arkansas Auxillary Enterprises Revenue</v>
          </cell>
          <cell r="O122" t="str">
            <v>IQ128928788</v>
          </cell>
          <cell r="P122" t="str">
            <v>IQ58000069</v>
          </cell>
          <cell r="Q122" t="str">
            <v>IQ58000068</v>
          </cell>
        </row>
        <row r="123">
          <cell r="I123" t="str">
            <v>Mid-South Community College</v>
          </cell>
          <cell r="O123" t="str">
            <v>IQ82515307</v>
          </cell>
        </row>
        <row r="124">
          <cell r="I124" t="str">
            <v>Arkansas Northeastern College</v>
          </cell>
          <cell r="O124" t="str">
            <v>IQ49783771</v>
          </cell>
        </row>
        <row r="125">
          <cell r="I125" t="str">
            <v>North Arkansas College</v>
          </cell>
          <cell r="O125" t="str">
            <v>IQ4492834</v>
          </cell>
        </row>
        <row r="134">
          <cell r="I134" t="str">
            <v>Rich Mountain Community College Board Of Trustees</v>
          </cell>
          <cell r="O134" t="str">
            <v>IQ215623856</v>
          </cell>
        </row>
        <row r="135">
          <cell r="I135" t="str">
            <v>South Arkansas Community College</v>
          </cell>
          <cell r="O135" t="str">
            <v>IQ51860527</v>
          </cell>
        </row>
        <row r="137">
          <cell r="I137" t="str">
            <v>Southern Arkansas University Tech Foundation</v>
          </cell>
          <cell r="O137" t="str">
            <v>IQ146007149</v>
          </cell>
        </row>
        <row r="139">
          <cell r="I139" t="str">
            <v>University of Arkansas - Fort Smith Foundation, Inc.</v>
          </cell>
          <cell r="O139" t="str">
            <v>IQ224426293</v>
          </cell>
        </row>
        <row r="142">
          <cell r="I142" t="str">
            <v>American River College</v>
          </cell>
          <cell r="O142" t="str">
            <v>IQ38445108</v>
          </cell>
        </row>
        <row r="143">
          <cell r="I143" t="str">
            <v>Antelope Valley Community College District</v>
          </cell>
          <cell r="O143" t="str">
            <v>IQ4320033</v>
          </cell>
        </row>
        <row r="144">
          <cell r="I144" t="str">
            <v>Bakersfield College</v>
          </cell>
          <cell r="O144" t="str">
            <v>IQ6536311</v>
          </cell>
        </row>
        <row r="145">
          <cell r="I145" t="str">
            <v>Barstow Community College District</v>
          </cell>
          <cell r="O145" t="str">
            <v>IQ6821121</v>
          </cell>
        </row>
        <row r="147">
          <cell r="I147" t="str">
            <v>Cabrillo College Foundation</v>
          </cell>
          <cell r="O147" t="str">
            <v>IQ146010244</v>
          </cell>
        </row>
        <row r="150">
          <cell r="I150" t="str">
            <v>California State University, Bakersfield</v>
          </cell>
          <cell r="J150" t="str">
            <v>California State University, Bakersfield, Foundation</v>
          </cell>
          <cell r="O150" t="str">
            <v>IQ7700909</v>
          </cell>
          <cell r="P150" t="str">
            <v>IQ143105913</v>
          </cell>
        </row>
        <row r="153">
          <cell r="I153" t="str">
            <v>California State University, San Bernardino</v>
          </cell>
          <cell r="O153" t="str">
            <v>IQ6069087</v>
          </cell>
        </row>
        <row r="154">
          <cell r="I154" t="str">
            <v>California State Polytechnic University Pomona Associated Students, Inc.</v>
          </cell>
          <cell r="J154" t="str">
            <v>California State Polytechnic University, Pomona</v>
          </cell>
          <cell r="K154" t="str">
            <v>Associated Students Incorporated California State Polytechnic University Pomona</v>
          </cell>
          <cell r="O154" t="str">
            <v>IQ226003824</v>
          </cell>
          <cell r="P154" t="str">
            <v>IQ4319300</v>
          </cell>
          <cell r="Q154" t="str">
            <v>IQ254845338</v>
          </cell>
        </row>
        <row r="155">
          <cell r="I155" t="str">
            <v>California State University, Chico</v>
          </cell>
          <cell r="J155" t="str">
            <v>California State University Chico Resh Foundation Revenue</v>
          </cell>
          <cell r="O155" t="str">
            <v>IQ6147896</v>
          </cell>
          <cell r="P155" t="str">
            <v>IQ57985726</v>
          </cell>
        </row>
        <row r="156">
          <cell r="I156" t="str">
            <v>California State University, Dominguez Hills</v>
          </cell>
          <cell r="O156" t="str">
            <v>IQ6068968</v>
          </cell>
        </row>
        <row r="157">
          <cell r="I157" t="str">
            <v>California State University, Fresno</v>
          </cell>
          <cell r="J157" t="str">
            <v>California State University Fresno Athletic Corporation</v>
          </cell>
          <cell r="K157" t="str">
            <v>California State University, Fresno Foundation</v>
          </cell>
          <cell r="O157" t="str">
            <v>IQ6147900</v>
          </cell>
          <cell r="P157" t="str">
            <v>IQ145997535</v>
          </cell>
          <cell r="Q157" t="str">
            <v>IQ6478999</v>
          </cell>
        </row>
        <row r="158">
          <cell r="I158" t="str">
            <v>California State University, Fullerton</v>
          </cell>
          <cell r="J158" t="str">
            <v>California State University Fullerton Foundation</v>
          </cell>
          <cell r="O158" t="str">
            <v>IQ6068991</v>
          </cell>
          <cell r="P158" t="str">
            <v>IQ139605244</v>
          </cell>
        </row>
        <row r="159">
          <cell r="I159" t="str">
            <v>California State University Hayward Foundation</v>
          </cell>
          <cell r="O159" t="str">
            <v>IQ62108483</v>
          </cell>
        </row>
        <row r="160">
          <cell r="I160" t="str">
            <v>California State University, Long Beach</v>
          </cell>
          <cell r="J160" t="str">
            <v>California State University Long Beach Foundation</v>
          </cell>
          <cell r="K160" t="str">
            <v>California State University, Long Beach, College of Engineering</v>
          </cell>
          <cell r="O160" t="str">
            <v>IQ6069002</v>
          </cell>
          <cell r="P160" t="str">
            <v>IQ57985727</v>
          </cell>
          <cell r="Q160" t="str">
            <v>IQ40307478</v>
          </cell>
        </row>
        <row r="162">
          <cell r="I162" t="str">
            <v>The California State University, Northridge Foundation</v>
          </cell>
          <cell r="J162" t="str">
            <v>California State University Northridge Trust Fund</v>
          </cell>
          <cell r="O162" t="str">
            <v>IQ99133274</v>
          </cell>
          <cell r="P162" t="str">
            <v>IQ57985732</v>
          </cell>
        </row>
        <row r="163">
          <cell r="I163" t="str">
            <v>California State University, Sacramento</v>
          </cell>
          <cell r="O163" t="str">
            <v>IQ6069058</v>
          </cell>
        </row>
        <row r="164">
          <cell r="I164" t="str">
            <v>University of California-Los Angeles</v>
          </cell>
          <cell r="J164" t="str">
            <v>University of California, Los Angeles, School of Medicine</v>
          </cell>
          <cell r="O164" t="str">
            <v>IQ3759099</v>
          </cell>
          <cell r="P164" t="str">
            <v>IQ31312114</v>
          </cell>
        </row>
        <row r="165">
          <cell r="I165" t="str">
            <v>University Of California Riverside Ext</v>
          </cell>
          <cell r="J165" t="str">
            <v>University of California, Riverside</v>
          </cell>
          <cell r="O165" t="str">
            <v>IQ116643046</v>
          </cell>
          <cell r="P165" t="str">
            <v>IQ6188386</v>
          </cell>
        </row>
        <row r="166">
          <cell r="I166" t="str">
            <v>University of California - San Diego</v>
          </cell>
          <cell r="O166" t="str">
            <v>IQ4085823</v>
          </cell>
        </row>
        <row r="167">
          <cell r="I167" t="str">
            <v>University of California-San Francisco</v>
          </cell>
          <cell r="J167" t="str">
            <v>University of California San Francisco Medical Center</v>
          </cell>
          <cell r="O167" t="str">
            <v>IQ3768647</v>
          </cell>
          <cell r="P167" t="str">
            <v>IQ7690076</v>
          </cell>
        </row>
        <row r="168">
          <cell r="I168" t="str">
            <v>University of California, Santa Cruz</v>
          </cell>
          <cell r="O168" t="str">
            <v>IQ6185968</v>
          </cell>
        </row>
        <row r="169">
          <cell r="I169" t="str">
            <v>California Maritime Academy</v>
          </cell>
          <cell r="J169" t="str">
            <v>California Maritime Academy Foundation, Inc.</v>
          </cell>
          <cell r="O169" t="str">
            <v>IQ22391007</v>
          </cell>
          <cell r="P169" t="str">
            <v>IQ252126110</v>
          </cell>
        </row>
        <row r="170">
          <cell r="I170" t="str">
            <v>Career Development Institutes Ltd.</v>
          </cell>
          <cell r="O170" t="str">
            <v>IQ4947355</v>
          </cell>
        </row>
        <row r="172">
          <cell r="I172" t="str">
            <v>Cerritos College</v>
          </cell>
          <cell r="O172" t="str">
            <v>IQ6149872</v>
          </cell>
        </row>
        <row r="173">
          <cell r="I173" t="str">
            <v>Cerro Coso Community College</v>
          </cell>
          <cell r="O173" t="str">
            <v>IQ27974918</v>
          </cell>
        </row>
        <row r="174">
          <cell r="I174" t="str">
            <v>Chabot College</v>
          </cell>
          <cell r="O174" t="str">
            <v>IQ38783291</v>
          </cell>
        </row>
        <row r="175">
          <cell r="I175" t="str">
            <v>Chaffey College</v>
          </cell>
          <cell r="O175" t="str">
            <v>IQ11612587</v>
          </cell>
        </row>
        <row r="176">
          <cell r="I176" t="str">
            <v>Citrus College</v>
          </cell>
          <cell r="O176" t="str">
            <v>IQ24950850</v>
          </cell>
        </row>
        <row r="181">
          <cell r="I181" t="str">
            <v>Columbia College</v>
          </cell>
          <cell r="J181" t="str">
            <v>Columbia College</v>
          </cell>
          <cell r="K181" t="str">
            <v>Columbia College</v>
          </cell>
          <cell r="L181" t="str">
            <v>Columbia College, Missouri</v>
          </cell>
          <cell r="M181" t="str">
            <v>Columbia College</v>
          </cell>
          <cell r="O181" t="str">
            <v>IQ4270039</v>
          </cell>
          <cell r="P181" t="str">
            <v>IQ113735496</v>
          </cell>
          <cell r="Q181" t="str">
            <v>IQ6648031</v>
          </cell>
          <cell r="R181" t="str">
            <v>IQ38622686</v>
          </cell>
          <cell r="S181" t="str">
            <v>IQ158405090</v>
          </cell>
        </row>
        <row r="182">
          <cell r="I182" t="str">
            <v>El Camino College Compton Center</v>
          </cell>
          <cell r="O182" t="str">
            <v>IQ222845280</v>
          </cell>
        </row>
        <row r="186">
          <cell r="I186" t="str">
            <v>Crafton Hills College</v>
          </cell>
          <cell r="O186" t="str">
            <v>IQ40331923</v>
          </cell>
        </row>
        <row r="187">
          <cell r="I187" t="str">
            <v>Cuesta College</v>
          </cell>
          <cell r="O187" t="str">
            <v>IQ216993864</v>
          </cell>
        </row>
        <row r="188">
          <cell r="I188" t="str">
            <v>Cuyamaca College</v>
          </cell>
          <cell r="O188" t="str">
            <v>IQ31272047</v>
          </cell>
        </row>
        <row r="189">
          <cell r="I189" t="str">
            <v>Cypress College</v>
          </cell>
          <cell r="O189" t="str">
            <v>IQ130334811</v>
          </cell>
        </row>
        <row r="190">
          <cell r="I190" t="str">
            <v>De Anza College</v>
          </cell>
          <cell r="O190" t="str">
            <v>IQ13064173</v>
          </cell>
        </row>
        <row r="192">
          <cell r="I192" t="str">
            <v>Diablo Valley College</v>
          </cell>
          <cell r="O192" t="str">
            <v>IQ6161245</v>
          </cell>
        </row>
        <row r="193">
          <cell r="I193" t="str">
            <v>East Los Angeles College</v>
          </cell>
          <cell r="O193" t="str">
            <v>IQ32561956</v>
          </cell>
        </row>
        <row r="194">
          <cell r="I194" t="str">
            <v>El Camino California Community College District</v>
          </cell>
          <cell r="O194" t="str">
            <v>IQ57993523</v>
          </cell>
        </row>
        <row r="195">
          <cell r="I195" t="str">
            <v>Evergreen Valley College San Jose</v>
          </cell>
          <cell r="O195" t="str">
            <v>IQ31288206</v>
          </cell>
        </row>
        <row r="196">
          <cell r="I196" t="str">
            <v>Feather River Community College District</v>
          </cell>
          <cell r="O196" t="str">
            <v>IQ30968734</v>
          </cell>
        </row>
        <row r="197">
          <cell r="I197" t="str">
            <v>Foothill College</v>
          </cell>
          <cell r="O197" t="str">
            <v>IQ6161822</v>
          </cell>
        </row>
        <row r="198">
          <cell r="I198" t="str">
            <v>Fresno City College</v>
          </cell>
          <cell r="O198" t="str">
            <v>IQ31273006</v>
          </cell>
        </row>
        <row r="199">
          <cell r="I199" t="str">
            <v>Foothill-De Anza Community College District</v>
          </cell>
          <cell r="J199" t="str">
            <v>Foothill-De Anza Community College District Financing Corporation</v>
          </cell>
          <cell r="K199" t="str">
            <v>Foothill-De Anza California Community College District</v>
          </cell>
          <cell r="O199" t="str">
            <v>IQ4248048</v>
          </cell>
          <cell r="P199" t="str">
            <v>IQ241387148</v>
          </cell>
          <cell r="Q199" t="str">
            <v>IQ57995400</v>
          </cell>
        </row>
        <row r="200">
          <cell r="I200" t="str">
            <v>Fullerton College</v>
          </cell>
          <cell r="O200" t="str">
            <v>IQ6161858</v>
          </cell>
        </row>
        <row r="202">
          <cell r="I202" t="str">
            <v>Glendale &amp; Glendale Community College District Joint Parking Authority</v>
          </cell>
          <cell r="J202" t="str">
            <v>Glendale Community College District, Los Angeles County, California</v>
          </cell>
          <cell r="O202" t="str">
            <v>IQ139064007</v>
          </cell>
          <cell r="P202" t="str">
            <v>IQ183588567</v>
          </cell>
        </row>
        <row r="203">
          <cell r="I203" t="str">
            <v>Golden West College - Huntington Beach - California</v>
          </cell>
          <cell r="O203" t="str">
            <v>IQ7740997</v>
          </cell>
        </row>
        <row r="204">
          <cell r="I204" t="str">
            <v>Grossmont-Cuyamaca Community College District</v>
          </cell>
          <cell r="O204" t="str">
            <v>IQ4275594</v>
          </cell>
        </row>
        <row r="205">
          <cell r="I205" t="str">
            <v>Grossmont College</v>
          </cell>
          <cell r="O205" t="str">
            <v>IQ20596468</v>
          </cell>
        </row>
        <row r="206">
          <cell r="I206" t="str">
            <v>Hartnell College</v>
          </cell>
          <cell r="O206" t="str">
            <v>IQ30762499</v>
          </cell>
        </row>
        <row r="207">
          <cell r="I207" t="str">
            <v>Humboldt State University</v>
          </cell>
          <cell r="J207" t="str">
            <v>Humboldt State University Sponsored Programs Foundation</v>
          </cell>
          <cell r="K207" t="str">
            <v>Humboldt State University Center Board Of Directors</v>
          </cell>
          <cell r="O207" t="str">
            <v>IQ6097215</v>
          </cell>
          <cell r="P207" t="str">
            <v>IQ118600223</v>
          </cell>
          <cell r="Q207" t="str">
            <v>IQ4579550</v>
          </cell>
        </row>
        <row r="209">
          <cell r="I209" t="str">
            <v>Irvine Valley College</v>
          </cell>
          <cell r="O209" t="str">
            <v>IQ251732346</v>
          </cell>
        </row>
        <row r="211">
          <cell r="I211" t="str">
            <v>Lake Tahoe Community College</v>
          </cell>
          <cell r="J211" t="str">
            <v>Lake Tahoe Community College District</v>
          </cell>
          <cell r="O211" t="str">
            <v>IQ40177864</v>
          </cell>
          <cell r="P211" t="str">
            <v>IQ139260895</v>
          </cell>
        </row>
        <row r="212">
          <cell r="I212" t="str">
            <v>Laney College</v>
          </cell>
          <cell r="O212" t="str">
            <v>IQ40525994</v>
          </cell>
        </row>
        <row r="213">
          <cell r="I213" t="str">
            <v>Lassen Community College District</v>
          </cell>
          <cell r="O213" t="str">
            <v>IQ6711279</v>
          </cell>
        </row>
        <row r="214">
          <cell r="I214" t="str">
            <v>Long Beach City College</v>
          </cell>
          <cell r="O214" t="str">
            <v>IQ31229707</v>
          </cell>
        </row>
        <row r="216">
          <cell r="I216" t="str">
            <v>Los Angeles Harbor College</v>
          </cell>
          <cell r="O216" t="str">
            <v>IQ38968782</v>
          </cell>
        </row>
        <row r="220">
          <cell r="I220" t="str">
            <v>Los Angeles Valley College</v>
          </cell>
          <cell r="O220" t="str">
            <v>IQ13223430</v>
          </cell>
        </row>
        <row r="221">
          <cell r="I221" t="str">
            <v>Los Angeles City College</v>
          </cell>
          <cell r="O221" t="str">
            <v>IQ13334943</v>
          </cell>
        </row>
        <row r="224">
          <cell r="I224" t="str">
            <v>Los Medanos College</v>
          </cell>
          <cell r="O224" t="str">
            <v>IQ172029292</v>
          </cell>
        </row>
        <row r="227">
          <cell r="I227" t="str">
            <v>Mendocino College</v>
          </cell>
          <cell r="O227" t="str">
            <v>IQ38020942</v>
          </cell>
        </row>
        <row r="230">
          <cell r="I230" t="str">
            <v>Miracosta College</v>
          </cell>
          <cell r="O230" t="str">
            <v>IQ4306519</v>
          </cell>
        </row>
        <row r="231">
          <cell r="I231" t="str">
            <v>Mission College Investments Ltd.</v>
          </cell>
          <cell r="O231" t="str">
            <v>IQ34928925</v>
          </cell>
        </row>
        <row r="232">
          <cell r="I232" t="str">
            <v>Modesto Junior College</v>
          </cell>
          <cell r="O232" t="str">
            <v>IQ40379935</v>
          </cell>
        </row>
        <row r="233">
          <cell r="I233" t="str">
            <v>Monterey Peninsula College</v>
          </cell>
          <cell r="J233" t="str">
            <v>Monterey Peninsula College</v>
          </cell>
          <cell r="O233" t="str">
            <v>IQ13237035</v>
          </cell>
          <cell r="P233" t="str">
            <v>IQ6528441</v>
          </cell>
        </row>
        <row r="234">
          <cell r="I234" t="str">
            <v>Moorpark College</v>
          </cell>
          <cell r="O234" t="str">
            <v>IQ6181211</v>
          </cell>
        </row>
        <row r="235">
          <cell r="I235" t="str">
            <v>Mt San Antonio College</v>
          </cell>
          <cell r="O235" t="str">
            <v>IQ20596782</v>
          </cell>
        </row>
        <row r="237">
          <cell r="I237" t="str">
            <v>Napa Valley College</v>
          </cell>
          <cell r="O237" t="str">
            <v>IQ105772485</v>
          </cell>
        </row>
        <row r="239">
          <cell r="I239" t="str">
            <v>Ohlone College</v>
          </cell>
          <cell r="O239" t="str">
            <v>IQ26793985</v>
          </cell>
        </row>
        <row r="240">
          <cell r="I240" t="str">
            <v>Orange Coast College</v>
          </cell>
          <cell r="O240" t="str">
            <v>IQ6182677</v>
          </cell>
        </row>
        <row r="241">
          <cell r="I241" t="str">
            <v>Oxnard College</v>
          </cell>
          <cell r="O241" t="str">
            <v>IQ6753333</v>
          </cell>
        </row>
        <row r="242">
          <cell r="I242" t="str">
            <v>Palo Verde College</v>
          </cell>
          <cell r="O242" t="str">
            <v>IQ38026270</v>
          </cell>
        </row>
        <row r="243">
          <cell r="I243" t="str">
            <v>Palomar College</v>
          </cell>
          <cell r="O243" t="str">
            <v>IQ7618111</v>
          </cell>
        </row>
        <row r="244">
          <cell r="I244" t="str">
            <v>Pasadena City College</v>
          </cell>
          <cell r="O244" t="str">
            <v>IQ6182854</v>
          </cell>
        </row>
        <row r="246">
          <cell r="I246" t="str">
            <v>Porterville College</v>
          </cell>
          <cell r="O246" t="str">
            <v>IQ30611978</v>
          </cell>
        </row>
        <row r="249">
          <cell r="I249" t="str">
            <v>Rio Hondo College Foundation</v>
          </cell>
          <cell r="O249" t="str">
            <v>IQ105926751</v>
          </cell>
        </row>
        <row r="251">
          <cell r="I251" t="str">
            <v>Sacramento City College</v>
          </cell>
          <cell r="O251" t="str">
            <v>IQ7742203</v>
          </cell>
        </row>
        <row r="252">
          <cell r="I252" t="str">
            <v>Saddleback College</v>
          </cell>
          <cell r="O252" t="str">
            <v>IQ117850460</v>
          </cell>
        </row>
        <row r="254">
          <cell r="I254" t="str">
            <v>San Diego City College</v>
          </cell>
          <cell r="O254" t="str">
            <v>IQ26144929</v>
          </cell>
        </row>
        <row r="255">
          <cell r="I255" t="str">
            <v>San Diego Mesa College</v>
          </cell>
          <cell r="O255" t="str">
            <v>IQ40329884</v>
          </cell>
        </row>
        <row r="256">
          <cell r="I256" t="str">
            <v>Miramar College</v>
          </cell>
          <cell r="O256" t="str">
            <v>IQ37791572</v>
          </cell>
        </row>
        <row r="257">
          <cell r="I257" t="str">
            <v>San Diego State University</v>
          </cell>
          <cell r="J257" t="str">
            <v>San Diego State University Foundation</v>
          </cell>
          <cell r="K257" t="str">
            <v>San Diego State University School of Business</v>
          </cell>
          <cell r="O257" t="str">
            <v>IQ4369906</v>
          </cell>
          <cell r="P257" t="str">
            <v>IQ58022643</v>
          </cell>
          <cell r="Q257" t="str">
            <v>IQ7708682</v>
          </cell>
        </row>
        <row r="258">
          <cell r="I258" t="str">
            <v>San Francisco State University</v>
          </cell>
          <cell r="J258" t="str">
            <v>San Francisco State University Foundation Inc, California</v>
          </cell>
          <cell r="K258" t="str">
            <v>San Francisco State University California Revenue</v>
          </cell>
          <cell r="O258" t="str">
            <v>IQ31095937</v>
          </cell>
          <cell r="P258" t="str">
            <v>IQ58022705</v>
          </cell>
          <cell r="Q258" t="str">
            <v>IQ58022704</v>
          </cell>
        </row>
        <row r="259">
          <cell r="I259" t="str">
            <v>San Joaquin Delta College</v>
          </cell>
          <cell r="O259" t="str">
            <v>IQ38573822</v>
          </cell>
        </row>
        <row r="260">
          <cell r="I260" t="str">
            <v>San Jose Evergreen California Community College District</v>
          </cell>
          <cell r="O260" t="str">
            <v>IQ58022755</v>
          </cell>
        </row>
        <row r="261">
          <cell r="I261" t="str">
            <v>San Jose City College</v>
          </cell>
          <cell r="O261" t="str">
            <v>IQ7618190</v>
          </cell>
        </row>
        <row r="262">
          <cell r="I262" t="str">
            <v>San Jose State University</v>
          </cell>
          <cell r="O262" t="str">
            <v>IQ6183566</v>
          </cell>
        </row>
        <row r="265">
          <cell r="I265" t="str">
            <v>Santa Barbara City College</v>
          </cell>
          <cell r="J265" t="str">
            <v>Foundation For Santa Barbara City College</v>
          </cell>
          <cell r="O265" t="str">
            <v>IQ31269933</v>
          </cell>
          <cell r="P265" t="str">
            <v>IQ232496827</v>
          </cell>
        </row>
        <row r="266">
          <cell r="I266" t="str">
            <v>Santa Monica College</v>
          </cell>
          <cell r="J266" t="str">
            <v>Santa Monica College Foundation, The</v>
          </cell>
          <cell r="K266" t="str">
            <v>Santa Monica College Bookstore</v>
          </cell>
          <cell r="O266" t="str">
            <v>IQ129928607</v>
          </cell>
          <cell r="P266" t="str">
            <v>IQ146007135</v>
          </cell>
          <cell r="Q266" t="str">
            <v>IQ116655251</v>
          </cell>
        </row>
        <row r="267">
          <cell r="I267" t="str">
            <v>Santa Rosa Junior College</v>
          </cell>
          <cell r="O267" t="str">
            <v>IQ13227691</v>
          </cell>
        </row>
        <row r="270">
          <cell r="I270" t="str">
            <v>Sierra College Rocklin</v>
          </cell>
          <cell r="O270" t="str">
            <v>IQ38558190</v>
          </cell>
        </row>
        <row r="273">
          <cell r="I273" t="str">
            <v>Skyline College</v>
          </cell>
          <cell r="O273" t="str">
            <v>IQ6183970</v>
          </cell>
        </row>
        <row r="274">
          <cell r="I274" t="str">
            <v>San Bernardino Valley College</v>
          </cell>
          <cell r="O274" t="str">
            <v>IQ7618185</v>
          </cell>
        </row>
        <row r="275">
          <cell r="I275" t="str">
            <v>Solano Community College District</v>
          </cell>
          <cell r="J275" t="str">
            <v>Solano Community College District</v>
          </cell>
          <cell r="O275" t="str">
            <v>IQ6515883</v>
          </cell>
          <cell r="P275" t="str">
            <v>IQ252332316</v>
          </cell>
        </row>
        <row r="276">
          <cell r="I276" t="str">
            <v>Sonoma State University</v>
          </cell>
          <cell r="J276" t="str">
            <v>Sonoma State University Academic Foundation</v>
          </cell>
          <cell r="O276" t="str">
            <v>IQ6183974</v>
          </cell>
          <cell r="P276" t="str">
            <v>IQ252441702</v>
          </cell>
        </row>
        <row r="277">
          <cell r="I277" t="str">
            <v>Southwestern College</v>
          </cell>
          <cell r="J277" t="str">
            <v>Southwestern College Campus Store</v>
          </cell>
          <cell r="K277" t="str">
            <v>Southwestern College</v>
          </cell>
          <cell r="L277" t="str">
            <v>Southwestern College</v>
          </cell>
          <cell r="M277" t="str">
            <v>Lincoln College of Technology</v>
          </cell>
          <cell r="O277" t="str">
            <v>IQ4580881</v>
          </cell>
          <cell r="P277" t="str">
            <v>IQ289666396</v>
          </cell>
          <cell r="Q277" t="str">
            <v>IQ114075602</v>
          </cell>
          <cell r="R277" t="str">
            <v>IQ39862360</v>
          </cell>
          <cell r="S277" t="str">
            <v>IQ25330079</v>
          </cell>
        </row>
        <row r="278">
          <cell r="I278" t="str">
            <v>State Center Community College District</v>
          </cell>
          <cell r="O278" t="str">
            <v>IQ4258854</v>
          </cell>
        </row>
        <row r="282">
          <cell r="I282" t="str">
            <v>Ventura College</v>
          </cell>
          <cell r="J282" t="str">
            <v>Ventura College of Law</v>
          </cell>
          <cell r="O282" t="str">
            <v>IQ6206397</v>
          </cell>
          <cell r="P282" t="str">
            <v>IQ7618559</v>
          </cell>
        </row>
        <row r="287">
          <cell r="I287" t="str">
            <v>West Los Angeles College</v>
          </cell>
          <cell r="O287" t="str">
            <v>IQ20596079</v>
          </cell>
        </row>
        <row r="290">
          <cell r="I290" t="str">
            <v>Adams State University Board of Trustees</v>
          </cell>
          <cell r="O290" t="str">
            <v>IQ57979507</v>
          </cell>
        </row>
        <row r="291">
          <cell r="I291" t="str">
            <v>Aims Community College</v>
          </cell>
          <cell r="O291" t="str">
            <v>IQ171233174</v>
          </cell>
        </row>
        <row r="292">
          <cell r="I292" t="str">
            <v>Arapahoe Community College</v>
          </cell>
          <cell r="O292" t="str">
            <v>IQ30561422</v>
          </cell>
        </row>
        <row r="293">
          <cell r="I293" t="str">
            <v>University of Colorado Denver</v>
          </cell>
          <cell r="J293" t="str">
            <v>College of Liberal Arts &amp; Sciences, University of Colorado Denver</v>
          </cell>
          <cell r="O293" t="str">
            <v>IQ6188567</v>
          </cell>
          <cell r="P293" t="str">
            <v>IQ46856107</v>
          </cell>
        </row>
        <row r="294">
          <cell r="I294" t="str">
            <v>University of Colorado Colorado Springs</v>
          </cell>
          <cell r="O294" t="str">
            <v>IQ20596368</v>
          </cell>
        </row>
        <row r="295">
          <cell r="I295" t="str">
            <v>Aba School Of Bank Marketing And Management</v>
          </cell>
          <cell r="O295" t="str">
            <v>IQ40174929</v>
          </cell>
        </row>
        <row r="296">
          <cell r="I296" t="str">
            <v>Colorado Mountain College</v>
          </cell>
          <cell r="O296" t="str">
            <v>IQ4323221</v>
          </cell>
        </row>
        <row r="298">
          <cell r="I298" t="str">
            <v>Colorado School of Mines</v>
          </cell>
          <cell r="O298" t="str">
            <v>IQ4234138</v>
          </cell>
        </row>
        <row r="304">
          <cell r="I304" t="str">
            <v>Fort Lewis College</v>
          </cell>
          <cell r="O304" t="str">
            <v>IQ4399507</v>
          </cell>
        </row>
        <row r="305">
          <cell r="I305" t="str">
            <v>Front Range Community College</v>
          </cell>
          <cell r="O305" t="str">
            <v>IQ30686373</v>
          </cell>
        </row>
        <row r="307">
          <cell r="I307" t="str">
            <v>Mesa State College</v>
          </cell>
          <cell r="O307" t="str">
            <v>IQ4424407</v>
          </cell>
        </row>
        <row r="309">
          <cell r="I309" t="str">
            <v>Morgan Community College</v>
          </cell>
          <cell r="O309" t="str">
            <v>IQ51809517</v>
          </cell>
        </row>
        <row r="310">
          <cell r="I310" t="str">
            <v>Northeastern Junior College</v>
          </cell>
          <cell r="O310" t="str">
            <v>IQ51822947</v>
          </cell>
        </row>
        <row r="311">
          <cell r="I311" t="str">
            <v>University of Northern Colorado</v>
          </cell>
          <cell r="J311" t="str">
            <v>University of Northern Colorado Foundation, Inc.</v>
          </cell>
          <cell r="K311" t="str">
            <v>University of Northern Colorado Board of Trustees</v>
          </cell>
          <cell r="O311" t="str">
            <v>IQ4249904</v>
          </cell>
          <cell r="P311" t="str">
            <v>IQ139015905</v>
          </cell>
          <cell r="Q311" t="str">
            <v>IQ133672929</v>
          </cell>
        </row>
        <row r="313">
          <cell r="I313" t="str">
            <v>Pikes Peak Community College</v>
          </cell>
          <cell r="O313" t="str">
            <v>IQ4319905</v>
          </cell>
        </row>
        <row r="314">
          <cell r="I314" t="str">
            <v>Pueblo Community College</v>
          </cell>
          <cell r="O314" t="str">
            <v>IQ51810784</v>
          </cell>
        </row>
        <row r="315">
          <cell r="I315" t="str">
            <v>Red Rocks Community College &amp; Pueblo Community College</v>
          </cell>
          <cell r="J315" t="str">
            <v>Red Rocks Community College</v>
          </cell>
          <cell r="O315" t="str">
            <v>IQ142028177</v>
          </cell>
          <cell r="P315" t="str">
            <v>IQ51811072</v>
          </cell>
        </row>
        <row r="316">
          <cell r="I316" t="str">
            <v>Colorado State University-Pueblo Foundation</v>
          </cell>
          <cell r="O316" t="str">
            <v>IQ224449494</v>
          </cell>
        </row>
        <row r="318">
          <cell r="I318" t="str">
            <v>Trinidad State Junior College</v>
          </cell>
          <cell r="J318" t="str">
            <v>Trinidad State Junior College District, Colorado</v>
          </cell>
          <cell r="O318" t="str">
            <v>IQ31209496</v>
          </cell>
          <cell r="P318" t="str">
            <v>IQ183637993</v>
          </cell>
        </row>
        <row r="320">
          <cell r="I320" t="str">
            <v>U.S. Air Force Academy</v>
          </cell>
          <cell r="J320" t="str">
            <v>Association Of Graduates Of The United States Air Force Academy</v>
          </cell>
          <cell r="O320" t="str">
            <v>IQ5523559</v>
          </cell>
          <cell r="P320" t="str">
            <v>IQ49791930</v>
          </cell>
        </row>
        <row r="323">
          <cell r="I323" t="str">
            <v>Central Connecticut State University</v>
          </cell>
          <cell r="O323" t="str">
            <v>IQ6149855</v>
          </cell>
        </row>
        <row r="324">
          <cell r="I324" t="str">
            <v>Charter Oak State College</v>
          </cell>
          <cell r="O324" t="str">
            <v>IQ6158855</v>
          </cell>
        </row>
        <row r="325">
          <cell r="I325" t="str">
            <v>Eastern Connecticut State University</v>
          </cell>
          <cell r="O325" t="str">
            <v>IQ6161319</v>
          </cell>
        </row>
        <row r="327">
          <cell r="I327" t="str">
            <v>Housatonic Community College</v>
          </cell>
          <cell r="J327" t="str">
            <v>Housatonic Community College Foundation, Inc.</v>
          </cell>
          <cell r="O327" t="str">
            <v>IQ40273982</v>
          </cell>
          <cell r="P327" t="str">
            <v>IQ268771071</v>
          </cell>
        </row>
        <row r="328">
          <cell r="I328" t="str">
            <v>Manchester Community College</v>
          </cell>
          <cell r="O328" t="str">
            <v>IQ38721698</v>
          </cell>
        </row>
        <row r="329">
          <cell r="I329" t="str">
            <v>Naugatuck Valley Community College</v>
          </cell>
          <cell r="O329" t="str">
            <v>IQ31339981</v>
          </cell>
        </row>
        <row r="330">
          <cell r="I330" t="str">
            <v>Middlesex Community College</v>
          </cell>
          <cell r="O330" t="str">
            <v>IQ4560500</v>
          </cell>
        </row>
        <row r="331">
          <cell r="I331" t="str">
            <v>Three Rivers Community College</v>
          </cell>
          <cell r="J331" t="str">
            <v>Three Rivers Community College District</v>
          </cell>
          <cell r="O331" t="str">
            <v>IQ20701446</v>
          </cell>
          <cell r="P331" t="str">
            <v>IQ216320439</v>
          </cell>
        </row>
        <row r="332">
          <cell r="I332" t="str">
            <v>Norwalk Community College</v>
          </cell>
          <cell r="J332" t="str">
            <v>Norwalk Community College Foundation</v>
          </cell>
          <cell r="O332" t="str">
            <v>IQ37849762</v>
          </cell>
          <cell r="P332" t="str">
            <v>IQ11075252</v>
          </cell>
        </row>
        <row r="333">
          <cell r="I333" t="str">
            <v>Northwestern Connecticut Community College</v>
          </cell>
          <cell r="O333" t="str">
            <v>IQ40402657</v>
          </cell>
        </row>
        <row r="334">
          <cell r="I334" t="str">
            <v>Quinebaug Valley Community College</v>
          </cell>
          <cell r="O334" t="str">
            <v>IQ38444934</v>
          </cell>
        </row>
        <row r="335">
          <cell r="I335" t="str">
            <v>GateWay Community College</v>
          </cell>
          <cell r="O335" t="str">
            <v>IQ6161863</v>
          </cell>
        </row>
        <row r="336">
          <cell r="I336" t="str">
            <v>Southern Connecticut State University</v>
          </cell>
          <cell r="O336" t="str">
            <v>IQ6184096</v>
          </cell>
        </row>
        <row r="337">
          <cell r="I337" t="str">
            <v>Tunxis Community College</v>
          </cell>
          <cell r="O337" t="str">
            <v>IQ38721744</v>
          </cell>
        </row>
        <row r="338">
          <cell r="I338" t="str">
            <v>U.S. Coast Guard Academy</v>
          </cell>
          <cell r="O338" t="str">
            <v>IQ6184896</v>
          </cell>
        </row>
        <row r="339">
          <cell r="I339" t="str">
            <v>Western Connecticut State University</v>
          </cell>
          <cell r="O339" t="str">
            <v>IQ6206626</v>
          </cell>
        </row>
        <row r="344">
          <cell r="I344" t="str">
            <v>Delaware State University</v>
          </cell>
          <cell r="J344" t="str">
            <v>Delaware State University Foundation, Inc.</v>
          </cell>
          <cell r="O344" t="str">
            <v>IQ4404124</v>
          </cell>
          <cell r="P344" t="str">
            <v>IQ271872094</v>
          </cell>
        </row>
        <row r="345">
          <cell r="I345" t="str">
            <v>University Of The District Of Columbia</v>
          </cell>
          <cell r="O345" t="str">
            <v>IQ4289339</v>
          </cell>
        </row>
        <row r="349">
          <cell r="I349" t="str">
            <v>Broward College Foundation, Inc.</v>
          </cell>
          <cell r="O349" t="str">
            <v>IQ146007380</v>
          </cell>
        </row>
        <row r="351">
          <cell r="I351" t="str">
            <v>University of Central Florida</v>
          </cell>
          <cell r="O351" t="str">
            <v>IQ4205219</v>
          </cell>
        </row>
        <row r="353">
          <cell r="I353" t="str">
            <v>Chipola College</v>
          </cell>
          <cell r="O353" t="str">
            <v>IQ145355343</v>
          </cell>
        </row>
        <row r="355">
          <cell r="I355" t="str">
            <v>Daytona State College</v>
          </cell>
          <cell r="O355" t="str">
            <v>IQ6687820</v>
          </cell>
        </row>
        <row r="356">
          <cell r="I356" t="str">
            <v>Edison State College Financing Corporation</v>
          </cell>
          <cell r="O356" t="str">
            <v>IQ248500759</v>
          </cell>
        </row>
        <row r="357">
          <cell r="I357" t="str">
            <v>Florida A &amp; M University</v>
          </cell>
          <cell r="O357" t="str">
            <v>IQ4237065</v>
          </cell>
        </row>
        <row r="358">
          <cell r="I358" t="str">
            <v>Florida Atlantic University</v>
          </cell>
          <cell r="J358" t="str">
            <v>Florida Atlantic University Foundation, Inc.</v>
          </cell>
          <cell r="K358" t="str">
            <v>The Florida Atlantic University  Finance  Corporation</v>
          </cell>
          <cell r="L358" t="str">
            <v>Florida Atlantic University - College of Business</v>
          </cell>
          <cell r="M358" t="str">
            <v>Florida Atlantic University Graduate School</v>
          </cell>
          <cell r="O358" t="str">
            <v>IQ4222344</v>
          </cell>
          <cell r="P358" t="str">
            <v>IQ143166453</v>
          </cell>
          <cell r="Q358" t="str">
            <v>IQ141351298</v>
          </cell>
          <cell r="R358" t="str">
            <v>IQ130401772</v>
          </cell>
          <cell r="S358" t="str">
            <v>IQ20585971</v>
          </cell>
        </row>
        <row r="360">
          <cell r="I360" t="str">
            <v>Florida International University</v>
          </cell>
          <cell r="O360" t="str">
            <v>IQ4217125</v>
          </cell>
        </row>
        <row r="361">
          <cell r="I361" t="str">
            <v>Florida Keys Community College</v>
          </cell>
          <cell r="O361" t="str">
            <v>IQ58860041</v>
          </cell>
        </row>
        <row r="362">
          <cell r="I362" t="str">
            <v>Florida State University</v>
          </cell>
          <cell r="J362" t="str">
            <v>Florida State University Financial Assistance, Inc.</v>
          </cell>
          <cell r="O362" t="str">
            <v>IQ4002828</v>
          </cell>
          <cell r="P362" t="str">
            <v>IQ141114112</v>
          </cell>
        </row>
        <row r="365">
          <cell r="I365" t="str">
            <v>Gulf Coast State College</v>
          </cell>
          <cell r="O365" t="str">
            <v>IQ4367802</v>
          </cell>
        </row>
        <row r="366">
          <cell r="I366" t="str">
            <v>Hillsborough Community College Inc</v>
          </cell>
          <cell r="J366" t="str">
            <v>Hillsborough Community College Foundation Inc</v>
          </cell>
          <cell r="K366" t="str">
            <v>Hillsborough Community College Foundation Inc Florida Student</v>
          </cell>
          <cell r="O366" t="str">
            <v>IQ4274336</v>
          </cell>
          <cell r="P366" t="str">
            <v>IQ240768332</v>
          </cell>
          <cell r="Q366" t="str">
            <v>IQ58000531</v>
          </cell>
        </row>
        <row r="367">
          <cell r="I367" t="str">
            <v>Indian River State College Fdn Inc</v>
          </cell>
          <cell r="O367" t="str">
            <v>IQ142962798</v>
          </cell>
        </row>
        <row r="368">
          <cell r="I368" t="str">
            <v>Florida Gateway College</v>
          </cell>
          <cell r="O368" t="str">
            <v>IQ4490044</v>
          </cell>
        </row>
        <row r="378">
          <cell r="I378" t="str">
            <v>Miami Dade College</v>
          </cell>
          <cell r="J378" t="str">
            <v>Miami Dade College Foundation, Inc</v>
          </cell>
          <cell r="O378" t="str">
            <v>IQ4203445</v>
          </cell>
          <cell r="P378" t="str">
            <v>IQ246310030</v>
          </cell>
        </row>
        <row r="380">
          <cell r="I380" t="str">
            <v>North Florida Community College</v>
          </cell>
          <cell r="O380" t="str">
            <v>IQ116655206</v>
          </cell>
        </row>
        <row r="381">
          <cell r="I381" t="str">
            <v>University of North Florida</v>
          </cell>
          <cell r="J381" t="str">
            <v>The University Of North Florida</v>
          </cell>
          <cell r="K381" t="str">
            <v>University of North Florida Foundation, Inc.</v>
          </cell>
          <cell r="O381" t="str">
            <v>IQ6191704</v>
          </cell>
          <cell r="P381" t="str">
            <v>IQ28463263</v>
          </cell>
          <cell r="Q381" t="str">
            <v>IQ26961163</v>
          </cell>
        </row>
        <row r="382">
          <cell r="I382" t="str">
            <v>North West Florida State College</v>
          </cell>
          <cell r="O382" t="str">
            <v>IQ4360115</v>
          </cell>
        </row>
        <row r="384">
          <cell r="I384" t="str">
            <v>Palm Beach State College</v>
          </cell>
          <cell r="O384" t="str">
            <v>IQ4437262</v>
          </cell>
        </row>
        <row r="385">
          <cell r="I385" t="str">
            <v>Pasco-Hernando Community College</v>
          </cell>
          <cell r="O385" t="str">
            <v>IQ24337789</v>
          </cell>
        </row>
        <row r="386">
          <cell r="I386" t="str">
            <v>Pensacola State College</v>
          </cell>
          <cell r="J386" t="str">
            <v>Pensacola Junior College Foundation Inc,Florida</v>
          </cell>
          <cell r="O386" t="str">
            <v>IQ257543559</v>
          </cell>
          <cell r="P386" t="str">
            <v>IQ58017417</v>
          </cell>
        </row>
        <row r="393">
          <cell r="I393" t="str">
            <v>Saint Petersburg College</v>
          </cell>
          <cell r="J393" t="str">
            <v>St.Petersburg College Foundation, Inc</v>
          </cell>
          <cell r="O393" t="str">
            <v>IQ6183554</v>
          </cell>
          <cell r="P393" t="str">
            <v>IQ225862361</v>
          </cell>
        </row>
        <row r="400">
          <cell r="I400" t="str">
            <v>South Florida State College</v>
          </cell>
          <cell r="O400" t="str">
            <v>IQ31045895</v>
          </cell>
        </row>
        <row r="403">
          <cell r="I403" t="str">
            <v>Tallahassee Community College</v>
          </cell>
          <cell r="J403" t="str">
            <v>Tallahassee Community College Foundation</v>
          </cell>
          <cell r="O403" t="str">
            <v>IQ4424686</v>
          </cell>
          <cell r="P403" t="str">
            <v>IQ25107949</v>
          </cell>
        </row>
        <row r="406">
          <cell r="I406" t="str">
            <v>Valencia College</v>
          </cell>
          <cell r="J406" t="str">
            <v>Valencia College Foundation, Inc., Endowment Arm</v>
          </cell>
          <cell r="K406" t="str">
            <v>Valencia College Foundation, Inc</v>
          </cell>
          <cell r="O406" t="str">
            <v>IQ25996560</v>
          </cell>
          <cell r="P406" t="str">
            <v>IQ268320322</v>
          </cell>
          <cell r="Q406" t="str">
            <v>IQ132513094</v>
          </cell>
        </row>
        <row r="407">
          <cell r="I407" t="str">
            <v>Washington-Holmes Technical Center in In Chipley, Fl</v>
          </cell>
          <cell r="O407" t="str">
            <v>IQ214104065</v>
          </cell>
        </row>
        <row r="408">
          <cell r="I408" t="str">
            <v>University Of West Florida</v>
          </cell>
          <cell r="O408" t="str">
            <v>IQ4253271</v>
          </cell>
        </row>
        <row r="413">
          <cell r="I413" t="str">
            <v>Abraham Baldwin Agricultural College</v>
          </cell>
          <cell r="O413" t="str">
            <v>IQ6930827</v>
          </cell>
        </row>
        <row r="416">
          <cell r="I416" t="str">
            <v>Albany State University</v>
          </cell>
          <cell r="O416" t="str">
            <v>IQ4301710</v>
          </cell>
        </row>
        <row r="417">
          <cell r="I417" t="str">
            <v>Armstrong Atlantic State University</v>
          </cell>
          <cell r="O417" t="str">
            <v>IQ4320187</v>
          </cell>
        </row>
        <row r="419">
          <cell r="I419" t="str">
            <v>Atlanta Metropolitan State College</v>
          </cell>
          <cell r="O419" t="str">
            <v>IQ30851321</v>
          </cell>
        </row>
        <row r="424">
          <cell r="I424" t="str">
            <v>Clayton State University Foundation</v>
          </cell>
          <cell r="O424" t="str">
            <v>IQ271867928</v>
          </cell>
        </row>
        <row r="426">
          <cell r="I426" t="str">
            <v>Columbus State University</v>
          </cell>
          <cell r="J426" t="str">
            <v>Columbus State University Board of Regents</v>
          </cell>
          <cell r="O426" t="str">
            <v>IQ6161065</v>
          </cell>
          <cell r="P426" t="str">
            <v>IQ139062673</v>
          </cell>
        </row>
        <row r="428">
          <cell r="I428" t="str">
            <v>Dalton State College</v>
          </cell>
          <cell r="O428" t="str">
            <v>IQ30887317</v>
          </cell>
        </row>
        <row r="429">
          <cell r="I429" t="str">
            <v>East Georgia State College</v>
          </cell>
          <cell r="O429" t="str">
            <v>IQ126848889</v>
          </cell>
        </row>
        <row r="430">
          <cell r="I430" t="str">
            <v>Georgia Highlands College</v>
          </cell>
          <cell r="J430" t="str">
            <v>Georgia Highlands College Foundation, Inc.</v>
          </cell>
          <cell r="O430" t="str">
            <v>IQ51765358</v>
          </cell>
          <cell r="P430" t="str">
            <v>IQ251868551</v>
          </cell>
        </row>
        <row r="431">
          <cell r="I431" t="str">
            <v>Fort Valley State University</v>
          </cell>
          <cell r="J431" t="str">
            <v>Fort Valley State University Foundation Property, LLC</v>
          </cell>
          <cell r="O431" t="str">
            <v>IQ6528680</v>
          </cell>
          <cell r="P431" t="str">
            <v>IQ250716629</v>
          </cell>
        </row>
        <row r="433">
          <cell r="I433" t="str">
            <v>Georgia Southwestern State University</v>
          </cell>
          <cell r="O433" t="str">
            <v>IQ4539492</v>
          </cell>
        </row>
        <row r="434">
          <cell r="I434" t="str">
            <v>Georgia College &amp; State University</v>
          </cell>
          <cell r="J434" t="str">
            <v>Georgia College and State University Foundation</v>
          </cell>
          <cell r="O434" t="str">
            <v>IQ4457770</v>
          </cell>
          <cell r="P434" t="str">
            <v>IQ139443836</v>
          </cell>
        </row>
        <row r="435">
          <cell r="I435" t="str">
            <v>Georgia Military College</v>
          </cell>
          <cell r="O435" t="str">
            <v>IQ4321613</v>
          </cell>
        </row>
        <row r="436">
          <cell r="I436" t="str">
            <v>Georgia Southern University</v>
          </cell>
          <cell r="J436" t="str">
            <v>Georgia Southern University Housing Foundation Two, LLC</v>
          </cell>
          <cell r="K436" t="str">
            <v>Georgia Southern University Housing Foundation Inc</v>
          </cell>
          <cell r="L436" t="str">
            <v>Georgia Southern University Research &amp; Service Foundation, Inc</v>
          </cell>
          <cell r="O436" t="str">
            <v>IQ4395280</v>
          </cell>
          <cell r="P436" t="str">
            <v>IQ251869855</v>
          </cell>
          <cell r="Q436" t="str">
            <v>IQ142948771</v>
          </cell>
          <cell r="R436" t="str">
            <v>IQ51733745</v>
          </cell>
        </row>
        <row r="437">
          <cell r="I437" t="str">
            <v>Georgia State University</v>
          </cell>
          <cell r="J437" t="str">
            <v>Georgia State University Library</v>
          </cell>
          <cell r="K437" t="str">
            <v>Georgia State University School of Music</v>
          </cell>
          <cell r="L437" t="str">
            <v>Georgia State University College of Education</v>
          </cell>
          <cell r="M437" t="str">
            <v>Georgia State University College of Law</v>
          </cell>
          <cell r="O437" t="str">
            <v>IQ6161878</v>
          </cell>
          <cell r="P437" t="str">
            <v>IQ235034711</v>
          </cell>
          <cell r="Q437" t="str">
            <v>IQ40180336</v>
          </cell>
          <cell r="R437" t="str">
            <v>IQ40160283</v>
          </cell>
          <cell r="S437" t="str">
            <v>IQ38015605</v>
          </cell>
        </row>
        <row r="438">
          <cell r="I438" t="str">
            <v>Gordon State College Properties Foundation III, LLC</v>
          </cell>
          <cell r="O438" t="str">
            <v>IQ247020453</v>
          </cell>
        </row>
        <row r="441">
          <cell r="I441" t="str">
            <v>Kennesaw State University</v>
          </cell>
          <cell r="J441" t="str">
            <v>Kennesaw State University Foundation Inc.</v>
          </cell>
          <cell r="O441" t="str">
            <v>IQ4270384</v>
          </cell>
          <cell r="P441" t="str">
            <v>IQ139144944</v>
          </cell>
        </row>
        <row r="447">
          <cell r="I447" t="str">
            <v>Savannah State University</v>
          </cell>
          <cell r="O447" t="str">
            <v>IQ4324424</v>
          </cell>
        </row>
        <row r="449">
          <cell r="I449" t="str">
            <v>Southern Polytechnic State University</v>
          </cell>
          <cell r="O449" t="str">
            <v>IQ6720619</v>
          </cell>
        </row>
        <row r="452">
          <cell r="I452" t="str">
            <v>Valdosta State University</v>
          </cell>
          <cell r="J452" t="str">
            <v>Valdosta State University Foundation, Inc.</v>
          </cell>
          <cell r="O452" t="str">
            <v>IQ4259337</v>
          </cell>
          <cell r="P452" t="str">
            <v>IQ143166308</v>
          </cell>
        </row>
        <row r="453">
          <cell r="I453" t="str">
            <v>University Of West Georgia</v>
          </cell>
          <cell r="O453" t="str">
            <v>IQ4265233</v>
          </cell>
        </row>
        <row r="454">
          <cell r="I454" t="str">
            <v>University of Hawai'i at Hilo</v>
          </cell>
          <cell r="O454" t="str">
            <v>IQ60520519</v>
          </cell>
        </row>
        <row r="455">
          <cell r="I455" t="str">
            <v>University of Hawaii at Manoa</v>
          </cell>
          <cell r="O455" t="str">
            <v>IQ6189340</v>
          </cell>
        </row>
        <row r="464">
          <cell r="I464" t="str">
            <v>Boise State University, Idaho</v>
          </cell>
          <cell r="J464" t="str">
            <v>Boise State University Foundation, Inc.</v>
          </cell>
          <cell r="O464" t="str">
            <v>IQ4245505</v>
          </cell>
          <cell r="P464" t="str">
            <v>IQ126950070</v>
          </cell>
        </row>
        <row r="466">
          <cell r="I466" t="str">
            <v>Idaho State University</v>
          </cell>
          <cell r="J466" t="str">
            <v>Idaho State University Federal Credit Union</v>
          </cell>
          <cell r="K466" t="str">
            <v>Idaho State University Foundation Inc</v>
          </cell>
          <cell r="O466" t="str">
            <v>IQ4728043</v>
          </cell>
          <cell r="P466" t="str">
            <v>IQ128409463</v>
          </cell>
          <cell r="Q466" t="str">
            <v>IQ58001543</v>
          </cell>
        </row>
        <row r="467">
          <cell r="I467" t="str">
            <v>University Of Idaho</v>
          </cell>
          <cell r="O467" t="str">
            <v>IQ4218393</v>
          </cell>
        </row>
        <row r="468">
          <cell r="I468" t="str">
            <v>Lewis-Clark State College</v>
          </cell>
          <cell r="O468" t="str">
            <v>IQ6180710</v>
          </cell>
        </row>
        <row r="469">
          <cell r="I469" t="str">
            <v>North Idaho College</v>
          </cell>
          <cell r="O469" t="str">
            <v>IQ4323578</v>
          </cell>
        </row>
        <row r="471">
          <cell r="I471" t="str">
            <v>Southwestern Illinois College</v>
          </cell>
          <cell r="O471" t="str">
            <v>IQ46723669</v>
          </cell>
        </row>
        <row r="472">
          <cell r="I472" t="str">
            <v>Blackhawk College</v>
          </cell>
          <cell r="O472" t="str">
            <v>IQ6058154</v>
          </cell>
        </row>
        <row r="473">
          <cell r="I473" t="str">
            <v>Carl Sandburg Community College District No 518</v>
          </cell>
          <cell r="O473" t="str">
            <v>IQ138938429</v>
          </cell>
        </row>
        <row r="474">
          <cell r="I474" t="str">
            <v>Chicago State University</v>
          </cell>
          <cell r="O474" t="str">
            <v>IQ6158882</v>
          </cell>
        </row>
        <row r="483">
          <cell r="I483" t="str">
            <v>Danville Area Community College Foundation, Inc</v>
          </cell>
          <cell r="O483" t="str">
            <v>IQ6720472</v>
          </cell>
        </row>
        <row r="485">
          <cell r="I485" t="str">
            <v>Eastern Illinois University</v>
          </cell>
          <cell r="J485" t="str">
            <v>Eastern Illinois University Foundation, Inc.</v>
          </cell>
          <cell r="K485" t="str">
            <v>Eastern Illinois University Foundation, Inc., Endowment Arm</v>
          </cell>
          <cell r="O485" t="str">
            <v>IQ4256956</v>
          </cell>
          <cell r="P485" t="str">
            <v>IQ100665589</v>
          </cell>
          <cell r="Q485" t="str">
            <v>IQ224450326</v>
          </cell>
        </row>
        <row r="486">
          <cell r="I486" t="str">
            <v>Elgin Community College</v>
          </cell>
          <cell r="J486" t="str">
            <v>Community College District No 509, Illinois</v>
          </cell>
          <cell r="O486" t="str">
            <v>IQ4323520</v>
          </cell>
          <cell r="P486" t="str">
            <v>IQ58003334</v>
          </cell>
        </row>
        <row r="487">
          <cell r="I487" t="str">
            <v>Governors State University</v>
          </cell>
          <cell r="O487" t="str">
            <v>IQ6161930</v>
          </cell>
        </row>
        <row r="488">
          <cell r="I488" t="str">
            <v>Highland Community College</v>
          </cell>
          <cell r="O488" t="str">
            <v>IQ139150138</v>
          </cell>
        </row>
        <row r="489">
          <cell r="I489" t="str">
            <v>University of Illinois at Chicago College of Pharmacy</v>
          </cell>
          <cell r="J489" t="str">
            <v>College of Business Administration, University of Illinois at Chicago</v>
          </cell>
          <cell r="O489" t="str">
            <v>IQ7742730</v>
          </cell>
          <cell r="P489" t="str">
            <v>IQ38801615</v>
          </cell>
        </row>
        <row r="490">
          <cell r="I490" t="str">
            <v>College of Business, University Of Illinois at Urbana-Champaign</v>
          </cell>
          <cell r="O490" t="str">
            <v>IQ13223364</v>
          </cell>
        </row>
        <row r="491">
          <cell r="I491" t="str">
            <v>Illinois Central College</v>
          </cell>
          <cell r="O491" t="str">
            <v>IQ4307843</v>
          </cell>
        </row>
        <row r="493">
          <cell r="I493" t="str">
            <v>Illinois State University</v>
          </cell>
          <cell r="J493" t="str">
            <v>Board of Trustees of Illinois State University</v>
          </cell>
          <cell r="O493" t="str">
            <v>IQ4218365</v>
          </cell>
          <cell r="P493" t="str">
            <v>IQ204951051</v>
          </cell>
        </row>
        <row r="494">
          <cell r="I494" t="str">
            <v>Illinois Valley Community College</v>
          </cell>
          <cell r="O494" t="str">
            <v>IQ6675732</v>
          </cell>
        </row>
        <row r="496">
          <cell r="I496" t="str">
            <v>John Wood Community College</v>
          </cell>
          <cell r="O496" t="str">
            <v>IQ4546856</v>
          </cell>
        </row>
        <row r="497">
          <cell r="I497" t="str">
            <v>Joliet Illinois Junior College</v>
          </cell>
          <cell r="J497" t="str">
            <v>Joliet Junior College Assistance Corporation</v>
          </cell>
          <cell r="K497" t="str">
            <v>Joliet Junior College Foundation Inc</v>
          </cell>
          <cell r="L497" t="str">
            <v>Joliet Junior College District</v>
          </cell>
          <cell r="M497" t="str">
            <v>Joliet Junior College District 525</v>
          </cell>
          <cell r="O497" t="str">
            <v>IQ58003152</v>
          </cell>
          <cell r="P497" t="str">
            <v>IQ215921175</v>
          </cell>
          <cell r="Q497" t="str">
            <v>IQ288543937</v>
          </cell>
          <cell r="R497" t="str">
            <v>IQ138671864</v>
          </cell>
          <cell r="S497" t="str">
            <v>IQ4472720</v>
          </cell>
        </row>
        <row r="498">
          <cell r="I498" t="str">
            <v>Kankakee Community College Employees Credit Union</v>
          </cell>
          <cell r="O498" t="str">
            <v>IQ127189809</v>
          </cell>
        </row>
        <row r="499">
          <cell r="I499" t="str">
            <v>Kaskaskia College</v>
          </cell>
          <cell r="O499" t="str">
            <v>IQ4475169</v>
          </cell>
        </row>
        <row r="500">
          <cell r="I500" t="str">
            <v>Kishwaukee College</v>
          </cell>
          <cell r="O500" t="str">
            <v>IQ6716877</v>
          </cell>
        </row>
        <row r="502">
          <cell r="I502" t="str">
            <v>Lakeland College</v>
          </cell>
          <cell r="O502" t="str">
            <v>IQ4491701</v>
          </cell>
        </row>
        <row r="503">
          <cell r="I503" t="str">
            <v>Lewis &amp; Clark Community College</v>
          </cell>
          <cell r="J503" t="str">
            <v>Lewis &amp; Clark Community College District No 536</v>
          </cell>
          <cell r="O503" t="str">
            <v>IQ4340580</v>
          </cell>
          <cell r="P503" t="str">
            <v>IQ138942638</v>
          </cell>
        </row>
        <row r="504">
          <cell r="I504" t="str">
            <v>Lincoln Land Community College</v>
          </cell>
          <cell r="O504" t="str">
            <v>IQ6528136</v>
          </cell>
        </row>
        <row r="505">
          <cell r="I505" t="str">
            <v>Mc Henry County College</v>
          </cell>
          <cell r="O505" t="str">
            <v>IQ6527664</v>
          </cell>
        </row>
        <row r="506">
          <cell r="I506" t="str">
            <v>Moraine Valley Community College</v>
          </cell>
          <cell r="J506" t="str">
            <v>Moraine Valley Community College Foundation</v>
          </cell>
          <cell r="O506" t="str">
            <v>IQ99785767</v>
          </cell>
          <cell r="P506" t="str">
            <v>IQ6710903</v>
          </cell>
        </row>
        <row r="507">
          <cell r="I507" t="str">
            <v>Morton College</v>
          </cell>
          <cell r="J507" t="str">
            <v>Morton College in Cicero Ill</v>
          </cell>
          <cell r="O507" t="str">
            <v>IQ4489997</v>
          </cell>
          <cell r="P507" t="str">
            <v>IQ38972409</v>
          </cell>
        </row>
        <row r="508">
          <cell r="I508" t="str">
            <v>Northern Illinois University</v>
          </cell>
          <cell r="J508" t="str">
            <v>Northern Illinois University Board of Trustee</v>
          </cell>
          <cell r="O508" t="str">
            <v>IQ4217902</v>
          </cell>
          <cell r="P508" t="str">
            <v>IQ139144632</v>
          </cell>
        </row>
        <row r="509">
          <cell r="I509" t="str">
            <v>Northeastern Illinois University</v>
          </cell>
          <cell r="O509" t="str">
            <v>IQ6181440</v>
          </cell>
        </row>
        <row r="510">
          <cell r="I510" t="str">
            <v>Oakton Community College</v>
          </cell>
          <cell r="O510" t="str">
            <v>IQ4542689</v>
          </cell>
        </row>
        <row r="511">
          <cell r="I511" t="str">
            <v>Parkland College</v>
          </cell>
          <cell r="J511" t="str">
            <v>Community College District No. 505, Illinois</v>
          </cell>
          <cell r="O511" t="str">
            <v>IQ40256242</v>
          </cell>
          <cell r="P511" t="str">
            <v>IQ57987109</v>
          </cell>
        </row>
        <row r="512">
          <cell r="I512" t="str">
            <v>Prairie State College</v>
          </cell>
          <cell r="O512" t="str">
            <v>IQ38719819</v>
          </cell>
        </row>
        <row r="514">
          <cell r="I514" t="str">
            <v>Richland Community College Foundation</v>
          </cell>
          <cell r="O514" t="str">
            <v>IQ240992553</v>
          </cell>
        </row>
        <row r="515">
          <cell r="I515" t="str">
            <v>Rock Valley College (Inc)</v>
          </cell>
          <cell r="O515" t="str">
            <v>IQ4339961</v>
          </cell>
        </row>
        <row r="516">
          <cell r="I516" t="str">
            <v>University of Illinois at Springfield</v>
          </cell>
          <cell r="O516" t="str">
            <v>IQ6189547</v>
          </cell>
        </row>
        <row r="517">
          <cell r="I517" t="str">
            <v>Sauk Valley Community College</v>
          </cell>
          <cell r="O517" t="str">
            <v>IQ6788933</v>
          </cell>
        </row>
        <row r="518">
          <cell r="I518" t="str">
            <v>Shawnee Community College District 531 Inc</v>
          </cell>
          <cell r="O518" t="str">
            <v>IQ4562519</v>
          </cell>
        </row>
        <row r="519">
          <cell r="I519" t="str">
            <v>Southeastern Illinois College</v>
          </cell>
          <cell r="O519" t="str">
            <v>IQ38687985</v>
          </cell>
        </row>
        <row r="520">
          <cell r="I520" t="str">
            <v>Spoon River College (Inc)</v>
          </cell>
          <cell r="O520" t="str">
            <v>IQ30998525</v>
          </cell>
        </row>
        <row r="521">
          <cell r="I521" t="str">
            <v>Southern Illinois University, Carbondale Campus</v>
          </cell>
          <cell r="O521" t="str">
            <v>IQ4185289</v>
          </cell>
        </row>
        <row r="522">
          <cell r="I522" t="str">
            <v>Southern Illinois University, Edwardsville</v>
          </cell>
          <cell r="O522" t="str">
            <v>IQ40425253</v>
          </cell>
        </row>
        <row r="524">
          <cell r="I524" t="str">
            <v>South Suburban College</v>
          </cell>
          <cell r="O524" t="str">
            <v>IQ4368431</v>
          </cell>
        </row>
        <row r="525">
          <cell r="I525" t="str">
            <v>Triton College</v>
          </cell>
          <cell r="O525" t="str">
            <v>IQ6790776</v>
          </cell>
        </row>
        <row r="526">
          <cell r="I526" t="str">
            <v>Waubonsee Community College Foundation</v>
          </cell>
          <cell r="O526" t="str">
            <v>IQ66099545</v>
          </cell>
        </row>
        <row r="527">
          <cell r="I527" t="str">
            <v>Western Illinois University</v>
          </cell>
          <cell r="O527" t="str">
            <v>IQ4247516</v>
          </cell>
        </row>
        <row r="528">
          <cell r="I528" t="str">
            <v>Harper College</v>
          </cell>
          <cell r="O528" t="str">
            <v>IQ31289525</v>
          </cell>
        </row>
        <row r="529">
          <cell r="I529" t="str">
            <v>Ball State University</v>
          </cell>
          <cell r="O529" t="str">
            <v>IQ4222251</v>
          </cell>
        </row>
        <row r="530">
          <cell r="I530" t="str">
            <v>Ivy Tech Community College of Indiana</v>
          </cell>
          <cell r="O530" t="str">
            <v>IQ257490383</v>
          </cell>
        </row>
        <row r="532">
          <cell r="I532" t="str">
            <v>Indiana University-Purdue University-Indianapolis</v>
          </cell>
          <cell r="O532" t="str">
            <v>IQ3785579</v>
          </cell>
        </row>
        <row r="533">
          <cell r="I533" t="str">
            <v>University Of Southern Indiana</v>
          </cell>
          <cell r="O533" t="str">
            <v>IQ4284024</v>
          </cell>
        </row>
        <row r="534">
          <cell r="I534" t="str">
            <v>Indiana State University</v>
          </cell>
          <cell r="J534" t="str">
            <v>Indiana State University Federal Credit Union</v>
          </cell>
          <cell r="K534" t="str">
            <v>Indiana State University Board of Trustees</v>
          </cell>
          <cell r="O534" t="str">
            <v>IQ4248567</v>
          </cell>
          <cell r="P534" t="str">
            <v>IQ116901237</v>
          </cell>
          <cell r="Q534" t="str">
            <v>IQ62109153</v>
          </cell>
        </row>
        <row r="536">
          <cell r="I536" t="str">
            <v>Indiana University South Bend</v>
          </cell>
          <cell r="O536" t="str">
            <v>IQ38687736</v>
          </cell>
        </row>
        <row r="537">
          <cell r="I537" t="str">
            <v>Indiana University, Bloomington</v>
          </cell>
          <cell r="O537" t="str">
            <v>IQ3777958</v>
          </cell>
        </row>
        <row r="538">
          <cell r="I538" t="str">
            <v>Indiana University-Northwest</v>
          </cell>
          <cell r="O538" t="str">
            <v>IQ37893782</v>
          </cell>
        </row>
        <row r="539">
          <cell r="I539" t="str">
            <v>Indiana University Southeast</v>
          </cell>
          <cell r="J539" t="str">
            <v>Indiana University Southeast School of Business</v>
          </cell>
          <cell r="O539" t="str">
            <v>IQ38245837</v>
          </cell>
          <cell r="P539" t="str">
            <v>IQ96649206</v>
          </cell>
        </row>
        <row r="540">
          <cell r="I540" t="str">
            <v>Indiana University East</v>
          </cell>
          <cell r="O540" t="str">
            <v>IQ182561287</v>
          </cell>
        </row>
        <row r="544">
          <cell r="I544" t="str">
            <v>Vincennes University</v>
          </cell>
          <cell r="O544" t="str">
            <v>IQ4272221</v>
          </cell>
        </row>
        <row r="545">
          <cell r="I545" t="str">
            <v>Des Moines Area Community College</v>
          </cell>
          <cell r="O545" t="str">
            <v>IQ4272957</v>
          </cell>
        </row>
        <row r="547">
          <cell r="I547" t="str">
            <v>Eastern Iowa Community College District</v>
          </cell>
          <cell r="J547" t="str">
            <v>Eastern Iowa Community College District Foundation</v>
          </cell>
          <cell r="O547" t="str">
            <v>IQ138889113</v>
          </cell>
          <cell r="P547" t="str">
            <v>IQ4320131</v>
          </cell>
        </row>
        <row r="548">
          <cell r="I548" t="str">
            <v>Hawkeye Community College Iowa</v>
          </cell>
          <cell r="J548" t="str">
            <v>Hawkeye Community College</v>
          </cell>
          <cell r="K548" t="str">
            <v>Hawkeye Community College Foundation</v>
          </cell>
          <cell r="O548" t="str">
            <v>IQ57999789</v>
          </cell>
          <cell r="P548" t="str">
            <v>IQ40329365</v>
          </cell>
          <cell r="Q548" t="str">
            <v>IQ4340857</v>
          </cell>
        </row>
        <row r="549">
          <cell r="I549" t="str">
            <v>Indian Hills Community College</v>
          </cell>
          <cell r="O549" t="str">
            <v>IQ4335562</v>
          </cell>
        </row>
        <row r="550">
          <cell r="I550" t="str">
            <v>Iowa Central Community College</v>
          </cell>
          <cell r="O550" t="str">
            <v>IQ4595093</v>
          </cell>
        </row>
        <row r="551">
          <cell r="I551" t="str">
            <v>Iowa Lakes Community College</v>
          </cell>
          <cell r="O551" t="str">
            <v>IQ4427006</v>
          </cell>
        </row>
        <row r="552">
          <cell r="I552" t="str">
            <v>Iowa State University</v>
          </cell>
          <cell r="J552" t="str">
            <v>Iowa State University Research Foundation, Inc</v>
          </cell>
          <cell r="K552" t="str">
            <v>Iowa State University Graduate College</v>
          </cell>
          <cell r="L552" t="str">
            <v>Iowa State University College of Engineering</v>
          </cell>
          <cell r="M552" t="str">
            <v>Iowa State University Foundation</v>
          </cell>
          <cell r="O552" t="str">
            <v>IQ3785876</v>
          </cell>
          <cell r="P552" t="str">
            <v>IQ27975257</v>
          </cell>
          <cell r="Q552" t="str">
            <v>IQ40406929</v>
          </cell>
          <cell r="R552" t="str">
            <v>IQ31339447</v>
          </cell>
          <cell r="S552" t="str">
            <v>IQ6574338</v>
          </cell>
        </row>
        <row r="553">
          <cell r="I553" t="str">
            <v>Iowa Western Community College</v>
          </cell>
          <cell r="O553" t="str">
            <v>IQ4370179</v>
          </cell>
        </row>
        <row r="554">
          <cell r="I554" t="str">
            <v>University of Iowa</v>
          </cell>
          <cell r="O554" t="str">
            <v>IQ3777837</v>
          </cell>
        </row>
        <row r="556">
          <cell r="I556" t="str">
            <v>Marshalltown Community College</v>
          </cell>
          <cell r="O556" t="str">
            <v>IQ143254529</v>
          </cell>
        </row>
        <row r="557">
          <cell r="I557" t="str">
            <v>North Iowa Area Community College</v>
          </cell>
          <cell r="J557" t="str">
            <v>North Iowa Area Community College Foundation</v>
          </cell>
          <cell r="O557" t="str">
            <v>IQ4423297</v>
          </cell>
          <cell r="P557" t="str">
            <v>IQ271867824</v>
          </cell>
        </row>
        <row r="558">
          <cell r="I558" t="str">
            <v>University Of Northern Iowa</v>
          </cell>
          <cell r="O558" t="str">
            <v>IQ4245495</v>
          </cell>
        </row>
        <row r="560">
          <cell r="I560" t="str">
            <v>Northwest Iowa Community College</v>
          </cell>
          <cell r="J560" t="str">
            <v>Northwest Iowa Community College Merged Area Iv Dorm</v>
          </cell>
          <cell r="O560" t="str">
            <v>IQ6614930</v>
          </cell>
          <cell r="P560" t="str">
            <v>IQ58014650</v>
          </cell>
        </row>
        <row r="561">
          <cell r="I561" t="str">
            <v>Southeastern Community College</v>
          </cell>
          <cell r="O561" t="str">
            <v>IQ6742400</v>
          </cell>
        </row>
        <row r="562">
          <cell r="I562" t="str">
            <v>Southwestern Community College</v>
          </cell>
          <cell r="J562" t="str">
            <v>Southwestern Community College Iowa Merged Area Xiv</v>
          </cell>
          <cell r="K562" t="str">
            <v>Southwestern Community College</v>
          </cell>
          <cell r="L562" t="str">
            <v>Southwestern Community College District</v>
          </cell>
          <cell r="O562" t="str">
            <v>IQ4434542</v>
          </cell>
          <cell r="P562" t="str">
            <v>IQ58025648</v>
          </cell>
          <cell r="Q562" t="str">
            <v>IQ4662853</v>
          </cell>
          <cell r="R562" t="str">
            <v>IQ4280072</v>
          </cell>
        </row>
        <row r="564">
          <cell r="I564" t="str">
            <v>Allen County Community College</v>
          </cell>
          <cell r="O564" t="str">
            <v>IQ40173165</v>
          </cell>
        </row>
        <row r="565">
          <cell r="I565" t="str">
            <v>Barton County Community College</v>
          </cell>
          <cell r="O565" t="str">
            <v>IQ46295248</v>
          </cell>
        </row>
        <row r="566">
          <cell r="I566" t="str">
            <v>Butler Community College</v>
          </cell>
          <cell r="J566" t="str">
            <v>Butler Community College Foundation</v>
          </cell>
          <cell r="O566" t="str">
            <v>IQ225240808</v>
          </cell>
          <cell r="P566" t="str">
            <v>IQ244456429</v>
          </cell>
        </row>
        <row r="567">
          <cell r="I567" t="str">
            <v>Cloud County Community College</v>
          </cell>
          <cell r="O567" t="str">
            <v>IQ4550447</v>
          </cell>
        </row>
        <row r="568">
          <cell r="I568" t="str">
            <v>Coffeyville Community College</v>
          </cell>
          <cell r="O568" t="str">
            <v>IQ6924969</v>
          </cell>
        </row>
        <row r="569">
          <cell r="I569" t="str">
            <v>Colby Community College</v>
          </cell>
          <cell r="J569" t="str">
            <v>Colby Community College Endowment Foundation</v>
          </cell>
          <cell r="O569" t="str">
            <v>IQ263257278</v>
          </cell>
          <cell r="P569" t="str">
            <v>IQ4641672</v>
          </cell>
        </row>
        <row r="570">
          <cell r="I570" t="str">
            <v>Cowley County Community College</v>
          </cell>
          <cell r="O570" t="str">
            <v>IQ4490433</v>
          </cell>
        </row>
        <row r="571">
          <cell r="I571" t="str">
            <v>Dodge City Community College</v>
          </cell>
          <cell r="O571" t="str">
            <v>IQ4549712</v>
          </cell>
        </row>
        <row r="572">
          <cell r="I572" t="str">
            <v>Emporia State University</v>
          </cell>
          <cell r="J572" t="str">
            <v>Emporia State University Foundation, Inc</v>
          </cell>
          <cell r="O572" t="str">
            <v>IQ4263707</v>
          </cell>
          <cell r="P572" t="str">
            <v>IQ207165041</v>
          </cell>
        </row>
        <row r="574">
          <cell r="I574" t="str">
            <v>Fort Hays State University</v>
          </cell>
          <cell r="J574" t="str">
            <v>Fort Hays State University Foundation</v>
          </cell>
          <cell r="O574" t="str">
            <v>IQ4281062</v>
          </cell>
          <cell r="P574" t="str">
            <v>IQ100253652</v>
          </cell>
        </row>
        <row r="575">
          <cell r="I575" t="str">
            <v>Fort Scott Community College</v>
          </cell>
          <cell r="O575" t="str">
            <v>IQ4574710</v>
          </cell>
        </row>
        <row r="576">
          <cell r="I576" t="str">
            <v>Garden City Community College, Kansas</v>
          </cell>
          <cell r="O576" t="str">
            <v>IQ57996595</v>
          </cell>
        </row>
        <row r="578">
          <cell r="I578" t="str">
            <v>Highland Community College</v>
          </cell>
          <cell r="O578" t="str">
            <v>IQ139150138</v>
          </cell>
        </row>
        <row r="579">
          <cell r="I579" t="str">
            <v>Hutchinson Community College And Area Vocational School</v>
          </cell>
          <cell r="O579" t="str">
            <v>IQ4401607</v>
          </cell>
        </row>
        <row r="580">
          <cell r="I580" t="str">
            <v>Independence Community College</v>
          </cell>
          <cell r="O580" t="str">
            <v>IQ31073143</v>
          </cell>
        </row>
        <row r="581">
          <cell r="I581" t="str">
            <v>Johnson County Community College</v>
          </cell>
          <cell r="O581" t="str">
            <v>IQ4321619</v>
          </cell>
        </row>
        <row r="582">
          <cell r="I582" t="str">
            <v>Kansas City Ks Community College</v>
          </cell>
          <cell r="O582" t="str">
            <v>IQ4394039</v>
          </cell>
        </row>
        <row r="583">
          <cell r="I583" t="str">
            <v>University of Kansas</v>
          </cell>
          <cell r="J583" t="str">
            <v>University of Kansas Medical Center</v>
          </cell>
          <cell r="K583" t="str">
            <v>University of Kansas Hospital, Inc.</v>
          </cell>
          <cell r="L583" t="str">
            <v>University of Kansas School Of Medicine-Wichita Medical Practice Association</v>
          </cell>
          <cell r="M583" t="str">
            <v>University Of Kansas Center For Research, Inc.</v>
          </cell>
          <cell r="O583" t="str">
            <v>IQ4154613</v>
          </cell>
          <cell r="P583" t="str">
            <v>IQ6189636</v>
          </cell>
          <cell r="Q583" t="str">
            <v>IQ6462176</v>
          </cell>
          <cell r="R583" t="str">
            <v>IQ62203784</v>
          </cell>
          <cell r="S583" t="str">
            <v>IQ22905843</v>
          </cell>
        </row>
        <row r="584">
          <cell r="I584" t="str">
            <v>Kansas State University</v>
          </cell>
          <cell r="J584" t="str">
            <v>The Kansas State University Research Foundation</v>
          </cell>
          <cell r="K584" t="str">
            <v>Kansas State University Foundation Inc.</v>
          </cell>
          <cell r="L584" t="str">
            <v>K-State Athletics, Inc.</v>
          </cell>
          <cell r="M584" t="str">
            <v>Kansas State University Federal Credit Union</v>
          </cell>
          <cell r="O584" t="str">
            <v>IQ4142779</v>
          </cell>
          <cell r="P584" t="str">
            <v>IQ25182956</v>
          </cell>
          <cell r="Q584" t="str">
            <v>IQ224451052</v>
          </cell>
          <cell r="R584" t="str">
            <v>IQ145222873</v>
          </cell>
          <cell r="S584" t="str">
            <v>IQ127770183</v>
          </cell>
        </row>
        <row r="586">
          <cell r="I586" t="str">
            <v>Labette Community College</v>
          </cell>
          <cell r="O586" t="str">
            <v>IQ4633782</v>
          </cell>
        </row>
        <row r="588">
          <cell r="I588" t="str">
            <v>Neosho County Community College</v>
          </cell>
          <cell r="O588" t="str">
            <v>IQ51885287</v>
          </cell>
        </row>
        <row r="591">
          <cell r="I591" t="str">
            <v>Pittsburg State University</v>
          </cell>
          <cell r="J591" t="str">
            <v>Pittsburg State University Foundation, Inc.</v>
          </cell>
          <cell r="O591" t="str">
            <v>IQ4304932</v>
          </cell>
          <cell r="P591" t="str">
            <v>IQ224454768</v>
          </cell>
        </row>
        <row r="592">
          <cell r="I592" t="str">
            <v>Pratt Community College</v>
          </cell>
          <cell r="O592" t="str">
            <v>IQ4663508</v>
          </cell>
        </row>
        <row r="595">
          <cell r="I595" t="str">
            <v>Washburn University, Topeka</v>
          </cell>
          <cell r="J595" t="str">
            <v>Washburn University Foundation</v>
          </cell>
          <cell r="K595" t="str">
            <v>Washburn University Endowment Association</v>
          </cell>
          <cell r="L595" t="str">
            <v>Washburn University School of Business</v>
          </cell>
          <cell r="O595" t="str">
            <v>IQ4299645</v>
          </cell>
          <cell r="P595" t="str">
            <v>IQ224424539</v>
          </cell>
          <cell r="Q595" t="str">
            <v>IQ146165674</v>
          </cell>
          <cell r="R595" t="str">
            <v>IQ84142095</v>
          </cell>
        </row>
        <row r="597">
          <cell r="I597" t="str">
            <v>Wichita State University</v>
          </cell>
          <cell r="J597" t="str">
            <v>Wichita State University Foundation</v>
          </cell>
          <cell r="O597" t="str">
            <v>IQ4221328</v>
          </cell>
          <cell r="P597" t="str">
            <v>IQ141003488</v>
          </cell>
        </row>
        <row r="600">
          <cell r="I600" t="str">
            <v>Bluegrass Community &amp; Tech College</v>
          </cell>
          <cell r="O600" t="str">
            <v>IQ129699783</v>
          </cell>
        </row>
        <row r="601">
          <cell r="I601" t="str">
            <v>Eastern Kentucky University</v>
          </cell>
          <cell r="O601" t="str">
            <v>IQ46009175</v>
          </cell>
        </row>
        <row r="607">
          <cell r="I607" t="str">
            <v>Kentucky State University</v>
          </cell>
          <cell r="O607" t="str">
            <v>IQ4323305</v>
          </cell>
        </row>
        <row r="608">
          <cell r="I608" t="str">
            <v>University of Kentucky</v>
          </cell>
          <cell r="O608" t="str">
            <v>IQ3785340</v>
          </cell>
        </row>
        <row r="609">
          <cell r="I609" t="str">
            <v>University of Louisville</v>
          </cell>
          <cell r="J609" t="str">
            <v>University of Louisville Hospital</v>
          </cell>
          <cell r="K609" t="str">
            <v>University Of Louisville Research Foundation Inc.</v>
          </cell>
          <cell r="L609" t="str">
            <v>University of Louisville Athletic Association, Inc.</v>
          </cell>
          <cell r="M609" t="str">
            <v>University Of Louisville Medical School Practice Association, Inc.</v>
          </cell>
          <cell r="O609" t="str">
            <v>IQ3778024</v>
          </cell>
          <cell r="P609" t="str">
            <v>IQ4241020</v>
          </cell>
          <cell r="Q609" t="str">
            <v>IQ24950136</v>
          </cell>
          <cell r="R609" t="str">
            <v>IQ139072870</v>
          </cell>
          <cell r="S609" t="str">
            <v>IQ118600950</v>
          </cell>
        </row>
        <row r="612">
          <cell r="I612" t="str">
            <v>Morehead State University</v>
          </cell>
          <cell r="O612" t="str">
            <v>IQ4269691</v>
          </cell>
        </row>
        <row r="613">
          <cell r="I613" t="str">
            <v>Murray State University</v>
          </cell>
          <cell r="J613" t="str">
            <v>Murray State University Foundation, Inc.</v>
          </cell>
          <cell r="O613" t="str">
            <v>IQ4264597</v>
          </cell>
          <cell r="P613" t="str">
            <v>IQ143319423</v>
          </cell>
        </row>
        <row r="615">
          <cell r="I615" t="str">
            <v>Northern Kentucky University</v>
          </cell>
          <cell r="J615" t="str">
            <v>Northern Kentucky University Foundation, Inc.</v>
          </cell>
          <cell r="O615" t="str">
            <v>IQ58014499</v>
          </cell>
          <cell r="P615" t="str">
            <v>IQ24492765</v>
          </cell>
        </row>
        <row r="618">
          <cell r="I618" t="str">
            <v>Somerset Community College</v>
          </cell>
          <cell r="O618" t="str">
            <v>IQ243049625</v>
          </cell>
        </row>
        <row r="621">
          <cell r="I621" t="str">
            <v>Western Kentucky University</v>
          </cell>
          <cell r="J621" t="str">
            <v>Western Kentucky University Research Foundation, Inc.</v>
          </cell>
          <cell r="O621" t="str">
            <v>IQ4251245</v>
          </cell>
          <cell r="P621" t="str">
            <v>IQ100136589</v>
          </cell>
        </row>
        <row r="624">
          <cell r="I624" t="str">
            <v>Bossier Parish Community College</v>
          </cell>
          <cell r="O624" t="str">
            <v>IQ4487484</v>
          </cell>
        </row>
        <row r="625">
          <cell r="I625" t="str">
            <v>Delgado Community College</v>
          </cell>
          <cell r="O625" t="str">
            <v>IQ4362468</v>
          </cell>
        </row>
        <row r="627">
          <cell r="I627" t="str">
            <v>Grambling State University</v>
          </cell>
          <cell r="O627" t="str">
            <v>IQ4368424</v>
          </cell>
        </row>
        <row r="634">
          <cell r="I634" t="str">
            <v>Louisiana Tech University</v>
          </cell>
          <cell r="O634" t="str">
            <v>IQ4271644</v>
          </cell>
        </row>
        <row r="635">
          <cell r="I635" t="str">
            <v>Mc Neese State University</v>
          </cell>
          <cell r="J635" t="str">
            <v>Mcneese State University Foundation</v>
          </cell>
          <cell r="K635" t="str">
            <v>Mcneese State University Alumni</v>
          </cell>
          <cell r="O635" t="str">
            <v>IQ4393486</v>
          </cell>
          <cell r="P635" t="str">
            <v>IQ6656872</v>
          </cell>
          <cell r="Q635" t="str">
            <v>IQ6483325</v>
          </cell>
        </row>
        <row r="636">
          <cell r="I636" t="str">
            <v>University Of New Orleans</v>
          </cell>
          <cell r="O636" t="str">
            <v>IQ4247977</v>
          </cell>
        </row>
        <row r="637">
          <cell r="I637" t="str">
            <v>Nicholls State University</v>
          </cell>
          <cell r="J637" t="str">
            <v>Nicholls State University Foundation</v>
          </cell>
          <cell r="O637" t="str">
            <v>IQ252104009</v>
          </cell>
          <cell r="P637" t="str">
            <v>IQ271907657</v>
          </cell>
        </row>
        <row r="638">
          <cell r="I638" t="str">
            <v>University Of Louisiana At Monroe (ulm)</v>
          </cell>
          <cell r="O638" t="str">
            <v>IQ4317910</v>
          </cell>
        </row>
        <row r="644">
          <cell r="I644" t="str">
            <v>Southeastern Louisiana University</v>
          </cell>
          <cell r="O644" t="str">
            <v>IQ4295417</v>
          </cell>
        </row>
        <row r="646">
          <cell r="I646" t="str">
            <v>Southern University At New Orleans</v>
          </cell>
          <cell r="O646" t="str">
            <v>IQ115778164</v>
          </cell>
        </row>
        <row r="647">
          <cell r="I647" t="str">
            <v>Southern University At Shreveport</v>
          </cell>
          <cell r="O647" t="str">
            <v>IQ109546235</v>
          </cell>
        </row>
        <row r="648">
          <cell r="I648" t="str">
            <v>University Of Louisiana at Lafayette</v>
          </cell>
          <cell r="J648" t="str">
            <v>University Of Louisiana At Lafayette Foundation</v>
          </cell>
          <cell r="O648" t="str">
            <v>IQ4278350</v>
          </cell>
          <cell r="P648" t="str">
            <v>IQ52670226</v>
          </cell>
        </row>
        <row r="652">
          <cell r="I652" t="str">
            <v>Eastern Maine Community College</v>
          </cell>
          <cell r="O652" t="str">
            <v>IQ252702934</v>
          </cell>
        </row>
        <row r="653">
          <cell r="I653" t="str">
            <v>Kennebec Valley Community College Foundation</v>
          </cell>
          <cell r="O653" t="str">
            <v>IQ100249610</v>
          </cell>
        </row>
        <row r="654">
          <cell r="I654" t="str">
            <v>University of Maine at Augusta</v>
          </cell>
          <cell r="O654" t="str">
            <v>IQ99677766</v>
          </cell>
        </row>
        <row r="655">
          <cell r="I655" t="str">
            <v>University of Maine at Farmington</v>
          </cell>
          <cell r="O655" t="str">
            <v>IQ38972432</v>
          </cell>
        </row>
        <row r="656">
          <cell r="I656" t="str">
            <v>University of Maine at Fort Kent</v>
          </cell>
          <cell r="O656" t="str">
            <v>IQ62696748</v>
          </cell>
        </row>
        <row r="657">
          <cell r="I657" t="str">
            <v>University of Maine at Machias</v>
          </cell>
          <cell r="O657" t="str">
            <v>IQ61913879</v>
          </cell>
        </row>
        <row r="658">
          <cell r="I658" t="str">
            <v>University of Maine - Graduate School of Business</v>
          </cell>
          <cell r="J658" t="str">
            <v>University Of Maine System Inc.</v>
          </cell>
          <cell r="O658" t="str">
            <v>IQ31337679</v>
          </cell>
          <cell r="P658" t="str">
            <v>IQ4205070</v>
          </cell>
        </row>
        <row r="660">
          <cell r="I660" t="str">
            <v>Maine Maritime Academy</v>
          </cell>
          <cell r="O660" t="str">
            <v>IQ30961965</v>
          </cell>
        </row>
        <row r="662">
          <cell r="I662" t="str">
            <v>Northern Maine Community College Education Foundation</v>
          </cell>
          <cell r="O662" t="str">
            <v>IQ260702453</v>
          </cell>
        </row>
        <row r="663">
          <cell r="I663" t="str">
            <v>Southern Maine Community College Foundation</v>
          </cell>
          <cell r="O663" t="str">
            <v>IQ30885012</v>
          </cell>
        </row>
        <row r="664">
          <cell r="I664" t="str">
            <v>University of Southern Maine</v>
          </cell>
          <cell r="O664" t="str">
            <v>IQ6204742</v>
          </cell>
        </row>
        <row r="667">
          <cell r="I667" t="str">
            <v>Anne Arundel Community College</v>
          </cell>
          <cell r="J667" t="str">
            <v>The Anne Arundel Community College Foundation, Inc.</v>
          </cell>
          <cell r="O667" t="str">
            <v>IQ4288915</v>
          </cell>
          <cell r="P667" t="str">
            <v>IQ29014545</v>
          </cell>
        </row>
        <row r="668">
          <cell r="I668" t="str">
            <v>Baltimore City Community College</v>
          </cell>
          <cell r="J668" t="str">
            <v>Baltimore City Community College Foundation, Incorporated</v>
          </cell>
          <cell r="O668" t="str">
            <v>IQ73471311</v>
          </cell>
          <cell r="P668" t="str">
            <v>IQ30741724</v>
          </cell>
        </row>
        <row r="669">
          <cell r="I669" t="str">
            <v>University of Baltimore</v>
          </cell>
          <cell r="O669" t="str">
            <v>IQ6185918</v>
          </cell>
        </row>
        <row r="670">
          <cell r="I670" t="str">
            <v>Bowie State University</v>
          </cell>
          <cell r="O670" t="str">
            <v>IQ6058230</v>
          </cell>
        </row>
        <row r="673">
          <cell r="I673" t="str">
            <v>Chesapeake College (Inc)</v>
          </cell>
          <cell r="O673" t="str">
            <v>IQ4533034</v>
          </cell>
        </row>
        <row r="674">
          <cell r="I674" t="str">
            <v>Coppin State University</v>
          </cell>
          <cell r="J674" t="str">
            <v>Coppin State University Development Foundation, Inc.</v>
          </cell>
          <cell r="O674" t="str">
            <v>IQ27146875</v>
          </cell>
          <cell r="P674" t="str">
            <v>IQ113358342</v>
          </cell>
        </row>
        <row r="675">
          <cell r="I675" t="str">
            <v>Frederick Community College</v>
          </cell>
          <cell r="O675" t="str">
            <v>IQ23302581</v>
          </cell>
        </row>
        <row r="676">
          <cell r="I676" t="str">
            <v>Frostburg State University</v>
          </cell>
          <cell r="O676" t="str">
            <v>IQ6161851</v>
          </cell>
        </row>
        <row r="677">
          <cell r="I677" t="str">
            <v>Garrett College</v>
          </cell>
          <cell r="O677" t="str">
            <v>IQ35131623</v>
          </cell>
        </row>
        <row r="678">
          <cell r="I678" t="str">
            <v>Hagerstown Community College</v>
          </cell>
          <cell r="O678" t="str">
            <v>IQ6582260</v>
          </cell>
        </row>
        <row r="680">
          <cell r="I680" t="str">
            <v>Howard Community College</v>
          </cell>
          <cell r="O680" t="str">
            <v>IQ4549976</v>
          </cell>
        </row>
        <row r="682">
          <cell r="I682" t="str">
            <v>University of Maryland, Baltimore</v>
          </cell>
          <cell r="J682" t="str">
            <v>University of Maryland, Baltimore County</v>
          </cell>
          <cell r="O682" t="str">
            <v>IQ61144885</v>
          </cell>
          <cell r="P682" t="str">
            <v>IQ7618483</v>
          </cell>
        </row>
        <row r="683">
          <cell r="I683" t="str">
            <v>University of Maryland, Baltimore County</v>
          </cell>
          <cell r="O683" t="str">
            <v>IQ7618483</v>
          </cell>
        </row>
        <row r="684">
          <cell r="I684" t="str">
            <v>University of Maryland Eastern Shore</v>
          </cell>
          <cell r="J684" t="str">
            <v>University of Maryland Eastern Shore University Dining</v>
          </cell>
          <cell r="O684" t="str">
            <v>IQ13334809</v>
          </cell>
          <cell r="P684" t="str">
            <v>IQ243279804</v>
          </cell>
        </row>
        <row r="685">
          <cell r="I685" t="str">
            <v>Montgomery College Foundation, Inc.</v>
          </cell>
          <cell r="O685" t="str">
            <v>IQ6491006</v>
          </cell>
        </row>
        <row r="686">
          <cell r="I686" t="str">
            <v>Morgan State University</v>
          </cell>
          <cell r="J686" t="str">
            <v>Morgan State University Foundation, Inc.</v>
          </cell>
          <cell r="O686" t="str">
            <v>IQ4260317</v>
          </cell>
          <cell r="P686" t="str">
            <v>IQ228625471</v>
          </cell>
        </row>
        <row r="687">
          <cell r="I687" t="str">
            <v>Prince George's Community College</v>
          </cell>
          <cell r="O687" t="str">
            <v>IQ6535353</v>
          </cell>
        </row>
        <row r="688">
          <cell r="I688" t="str">
            <v>Salisbury University</v>
          </cell>
          <cell r="J688" t="str">
            <v>Salisbury University Foundation Inc</v>
          </cell>
          <cell r="O688" t="str">
            <v>IQ4465394</v>
          </cell>
          <cell r="P688" t="str">
            <v>IQ143256370</v>
          </cell>
        </row>
        <row r="690">
          <cell r="I690" t="str">
            <v>Towson University</v>
          </cell>
          <cell r="O690" t="str">
            <v>IQ22094629</v>
          </cell>
        </row>
        <row r="691">
          <cell r="I691" t="str">
            <v>University System of Maryland, Inc.</v>
          </cell>
          <cell r="J691" t="str">
            <v>The University System of Maryland Foundation, Inc.</v>
          </cell>
          <cell r="K691" t="str">
            <v>University System of Maryland, Endowment Arm</v>
          </cell>
          <cell r="L691" t="str">
            <v>The University System of Maryland Foundation, Inc., Endowment Arm</v>
          </cell>
          <cell r="O691" t="str">
            <v>IQ4422166</v>
          </cell>
          <cell r="P691" t="str">
            <v>IQ59040241</v>
          </cell>
          <cell r="Q691" t="str">
            <v>IQ222989613</v>
          </cell>
          <cell r="R691" t="str">
            <v>IQ59040268</v>
          </cell>
        </row>
        <row r="692">
          <cell r="I692" t="str">
            <v>United States Naval Academy</v>
          </cell>
          <cell r="J692" t="str">
            <v>US Naval Academy Foundation</v>
          </cell>
          <cell r="O692" t="str">
            <v>IQ6185009</v>
          </cell>
          <cell r="P692" t="str">
            <v>IQ167999668</v>
          </cell>
        </row>
        <row r="693">
          <cell r="I693" t="str">
            <v>Wor-Wic Community College, Inc.</v>
          </cell>
          <cell r="O693" t="str">
            <v>IQ4588161</v>
          </cell>
        </row>
        <row r="695">
          <cell r="I695" t="str">
            <v>Berkshire Community College</v>
          </cell>
          <cell r="J695" t="str">
            <v>The Berkshire Community College Foundation</v>
          </cell>
          <cell r="O695" t="str">
            <v>IQ4473243</v>
          </cell>
          <cell r="P695" t="str">
            <v>IQ249866220</v>
          </cell>
        </row>
        <row r="696">
          <cell r="I696" t="str">
            <v>Bridgewater State College</v>
          </cell>
          <cell r="O696" t="str">
            <v>IQ6058340</v>
          </cell>
        </row>
        <row r="697">
          <cell r="I697" t="str">
            <v>Bristol Community College (Inc)</v>
          </cell>
          <cell r="O697" t="str">
            <v>IQ6909070</v>
          </cell>
        </row>
        <row r="698">
          <cell r="I698" t="str">
            <v>Bunker Hill Community College</v>
          </cell>
          <cell r="J698" t="str">
            <v>Bunker Hill Community College Foundation, Inc.</v>
          </cell>
          <cell r="O698" t="str">
            <v>IQ4483581</v>
          </cell>
          <cell r="P698" t="str">
            <v>IQ49793121</v>
          </cell>
        </row>
        <row r="699">
          <cell r="I699" t="str">
            <v>Cape Cod Community College</v>
          </cell>
          <cell r="O699" t="str">
            <v>IQ4451676</v>
          </cell>
        </row>
        <row r="701">
          <cell r="I701" t="str">
            <v>Fitchburg State College</v>
          </cell>
          <cell r="J701" t="str">
            <v>Fitchburg State University Foundation, Inc.</v>
          </cell>
          <cell r="O701" t="str">
            <v>IQ6161813</v>
          </cell>
          <cell r="P701" t="str">
            <v>IQ145992379</v>
          </cell>
        </row>
        <row r="702">
          <cell r="I702" t="str">
            <v>Framingham State College</v>
          </cell>
          <cell r="O702" t="str">
            <v>IQ6161823</v>
          </cell>
        </row>
        <row r="703">
          <cell r="I703" t="str">
            <v>Greenfield Community College</v>
          </cell>
          <cell r="O703" t="str">
            <v>IQ6554405</v>
          </cell>
        </row>
        <row r="704">
          <cell r="I704" t="str">
            <v>Holyoke Community College</v>
          </cell>
          <cell r="O704" t="str">
            <v>IQ6784299</v>
          </cell>
        </row>
        <row r="705">
          <cell r="I705" t="str">
            <v>University of Massachusetts Lowell</v>
          </cell>
          <cell r="O705" t="str">
            <v>IQ6180797</v>
          </cell>
        </row>
        <row r="706">
          <cell r="I706" t="str">
            <v>University of Massachusetts, Amherst</v>
          </cell>
          <cell r="O706" t="str">
            <v>IQ6190847</v>
          </cell>
        </row>
        <row r="707">
          <cell r="I707" t="str">
            <v>University of Massachusetts, Boston</v>
          </cell>
          <cell r="O707" t="str">
            <v>IQ6190875</v>
          </cell>
        </row>
        <row r="708">
          <cell r="I708" t="str">
            <v>Massachusetts Bay Community College</v>
          </cell>
          <cell r="J708" t="str">
            <v>Massachusetts Bay Community College</v>
          </cell>
          <cell r="O708" t="str">
            <v>IQ4396344</v>
          </cell>
          <cell r="P708" t="str">
            <v>IQ58009082</v>
          </cell>
        </row>
        <row r="713">
          <cell r="I713" t="str">
            <v>Massasoit Community College</v>
          </cell>
          <cell r="O713" t="str">
            <v>IQ4349251</v>
          </cell>
        </row>
        <row r="714">
          <cell r="I714" t="str">
            <v>Middlesex Community College</v>
          </cell>
          <cell r="O714" t="str">
            <v>IQ4560500</v>
          </cell>
        </row>
        <row r="715">
          <cell r="I715" t="str">
            <v>Mount Wachusett Community College</v>
          </cell>
          <cell r="O715" t="str">
            <v>IQ4458050</v>
          </cell>
        </row>
        <row r="716">
          <cell r="I716" t="str">
            <v>Massachusetts College Of Liberal Arts</v>
          </cell>
          <cell r="O716" t="str">
            <v>IQ4442823</v>
          </cell>
        </row>
        <row r="717">
          <cell r="I717" t="str">
            <v>North Shore Community College</v>
          </cell>
          <cell r="O717" t="str">
            <v>IQ252046326</v>
          </cell>
        </row>
        <row r="719">
          <cell r="I719" t="str">
            <v>Quincy College</v>
          </cell>
          <cell r="O719" t="str">
            <v>IQ7618156</v>
          </cell>
        </row>
        <row r="720">
          <cell r="I720" t="str">
            <v>Quinsigamond Community College</v>
          </cell>
          <cell r="O720" t="str">
            <v>IQ6789757</v>
          </cell>
        </row>
        <row r="721">
          <cell r="I721" t="str">
            <v>Roxbury Community College</v>
          </cell>
          <cell r="O721" t="str">
            <v>IQ51860713</v>
          </cell>
        </row>
        <row r="722">
          <cell r="I722" t="str">
            <v>Salem State College</v>
          </cell>
          <cell r="O722" t="str">
            <v>IQ4434637</v>
          </cell>
        </row>
        <row r="725">
          <cell r="I725" t="str">
            <v>University Of Massachusetts Dartmouth Foundation</v>
          </cell>
          <cell r="O725" t="str">
            <v>IQ240996978</v>
          </cell>
        </row>
        <row r="726">
          <cell r="I726" t="str">
            <v>Westfield State College</v>
          </cell>
          <cell r="O726" t="str">
            <v>IQ4437373</v>
          </cell>
        </row>
        <row r="728">
          <cell r="I728" t="str">
            <v>Alpena Community College</v>
          </cell>
          <cell r="J728" t="str">
            <v>Alpena Community College District, Michigan</v>
          </cell>
          <cell r="O728" t="str">
            <v>IQ6788339</v>
          </cell>
          <cell r="P728" t="str">
            <v>IQ212172349</v>
          </cell>
        </row>
        <row r="730">
          <cell r="I730" t="str">
            <v>Central Michigan University</v>
          </cell>
          <cell r="J730" t="str">
            <v>Board of Trustees of Central Michigan University</v>
          </cell>
          <cell r="K730" t="str">
            <v>CHA University - College of Medicine</v>
          </cell>
          <cell r="L730" t="str">
            <v>Central Michigan University, East Lansing</v>
          </cell>
          <cell r="M730" t="str">
            <v>Central Michigan University Endowment</v>
          </cell>
          <cell r="O730" t="str">
            <v>IQ4249403</v>
          </cell>
          <cell r="P730" t="str">
            <v>IQ212046280</v>
          </cell>
          <cell r="Q730" t="str">
            <v>IQ142582908</v>
          </cell>
          <cell r="R730" t="str">
            <v>IQ38652138</v>
          </cell>
          <cell r="S730" t="str">
            <v>IQ6059920</v>
          </cell>
        </row>
        <row r="731">
          <cell r="I731" t="str">
            <v>Charles Stewart Mott Community College</v>
          </cell>
          <cell r="O731" t="str">
            <v>IQ8986811</v>
          </cell>
        </row>
        <row r="732">
          <cell r="I732" t="str">
            <v>Delta College</v>
          </cell>
          <cell r="J732" t="str">
            <v>Delta College Of Arts &amp; Technology, Inc.</v>
          </cell>
          <cell r="O732" t="str">
            <v>IQ1587127</v>
          </cell>
          <cell r="P732" t="str">
            <v>IQ130408451</v>
          </cell>
        </row>
        <row r="733">
          <cell r="I733" t="str">
            <v>Eastern Michigan University</v>
          </cell>
          <cell r="J733" t="str">
            <v>Eastern Michigan University Credit Union</v>
          </cell>
          <cell r="K733" t="str">
            <v>Eastern Michigan University College of Business.</v>
          </cell>
          <cell r="L733" t="str">
            <v>Eastern Michigan University Board of Regents</v>
          </cell>
          <cell r="M733" t="str">
            <v>Eastern Michigan University Cu</v>
          </cell>
          <cell r="O733" t="str">
            <v>IQ4251704</v>
          </cell>
          <cell r="P733" t="str">
            <v>IQ127290680</v>
          </cell>
          <cell r="Q733" t="str">
            <v>IQ97990136</v>
          </cell>
          <cell r="R733" t="str">
            <v>IQ62108902</v>
          </cell>
          <cell r="S733" t="str">
            <v>IQ25813296</v>
          </cell>
        </row>
        <row r="734">
          <cell r="I734" t="str">
            <v>Ferris State University</v>
          </cell>
          <cell r="J734" t="str">
            <v>Ferris State University Board of Trustees, Michigan</v>
          </cell>
          <cell r="O734" t="str">
            <v>IQ4272955</v>
          </cell>
          <cell r="P734" t="str">
            <v>IQ57994960</v>
          </cell>
        </row>
        <row r="735">
          <cell r="I735" t="str">
            <v>Glen Oaks Community College</v>
          </cell>
          <cell r="O735" t="str">
            <v>IQ6933370</v>
          </cell>
        </row>
        <row r="736">
          <cell r="I736" t="str">
            <v>Gogebic Community College</v>
          </cell>
          <cell r="O736" t="str">
            <v>IQ12435788</v>
          </cell>
        </row>
        <row r="737">
          <cell r="I737" t="str">
            <v>Grand Rapids Community College, MI</v>
          </cell>
          <cell r="J737" t="str">
            <v>Grand Rapids Community College</v>
          </cell>
          <cell r="O737" t="str">
            <v>IQ57997641</v>
          </cell>
          <cell r="P737" t="str">
            <v>IQ4291218</v>
          </cell>
        </row>
        <row r="738">
          <cell r="I738" t="str">
            <v>Grand Valley State University</v>
          </cell>
          <cell r="J738" t="str">
            <v>Grand Valley State University Board of Trustees</v>
          </cell>
          <cell r="K738" t="str">
            <v>Grand Valley State University Board of Control</v>
          </cell>
          <cell r="O738" t="str">
            <v>IQ4259691</v>
          </cell>
          <cell r="P738" t="str">
            <v>IQ62109019</v>
          </cell>
          <cell r="Q738" t="str">
            <v>IQ62108968</v>
          </cell>
        </row>
        <row r="739">
          <cell r="I739" t="str">
            <v>Henry Ford Community College</v>
          </cell>
          <cell r="O739" t="str">
            <v>IQ30588738</v>
          </cell>
        </row>
        <row r="740">
          <cell r="I740" t="str">
            <v>Jackson College of Tufts University</v>
          </cell>
          <cell r="O740" t="str">
            <v>IQ7701044</v>
          </cell>
        </row>
        <row r="741">
          <cell r="I741" t="str">
            <v>Kalamazoo Valley Community College District, Michigan</v>
          </cell>
          <cell r="O741" t="str">
            <v>IQ278258306</v>
          </cell>
        </row>
        <row r="743">
          <cell r="I743" t="str">
            <v>Kirtland Community College</v>
          </cell>
          <cell r="O743" t="str">
            <v>IQ6816070</v>
          </cell>
        </row>
        <row r="746">
          <cell r="I746" t="str">
            <v>Lansing Community College</v>
          </cell>
          <cell r="O746" t="str">
            <v>IQ4273098</v>
          </cell>
        </row>
        <row r="747">
          <cell r="I747" t="str">
            <v>Macomb Community College Foundation</v>
          </cell>
          <cell r="O747" t="str">
            <v>IQ4333866</v>
          </cell>
        </row>
        <row r="748">
          <cell r="I748" t="str">
            <v>Michigan State University</v>
          </cell>
          <cell r="J748" t="str">
            <v>Michigan State University, Endowment Arm</v>
          </cell>
          <cell r="K748" t="str">
            <v>Michigan State University College of Law</v>
          </cell>
          <cell r="L748" t="str">
            <v>Michigan State University Kalamazoo Center for Medical Studies</v>
          </cell>
          <cell r="M748" t="str">
            <v>Michigan State University Extension</v>
          </cell>
          <cell r="O748" t="str">
            <v>IQ3785017</v>
          </cell>
          <cell r="P748" t="str">
            <v>IQ3533768</v>
          </cell>
          <cell r="Q748" t="str">
            <v>IQ38719805</v>
          </cell>
          <cell r="R748" t="str">
            <v>IQ30689815</v>
          </cell>
          <cell r="S748" t="str">
            <v>IQ22582974</v>
          </cell>
        </row>
        <row r="749">
          <cell r="I749" t="str">
            <v>Michigan Technological University</v>
          </cell>
          <cell r="J749" t="str">
            <v>Michigan Technological University  Board of Control</v>
          </cell>
          <cell r="O749" t="str">
            <v>IQ4275938</v>
          </cell>
          <cell r="P749" t="str">
            <v>IQ139203653</v>
          </cell>
        </row>
        <row r="750">
          <cell r="I750" t="str">
            <v>University Of Michigan-dearborn</v>
          </cell>
          <cell r="O750" t="str">
            <v>IQ31143629</v>
          </cell>
        </row>
        <row r="754">
          <cell r="I754" t="str">
            <v>Montcalm Community College Foundation</v>
          </cell>
          <cell r="O754" t="str">
            <v>IQ4595520</v>
          </cell>
        </row>
        <row r="755">
          <cell r="I755" t="str">
            <v>Muskegon Community College</v>
          </cell>
          <cell r="O755" t="str">
            <v>IQ6573322</v>
          </cell>
        </row>
        <row r="756">
          <cell r="I756" t="str">
            <v>North Central Michigan College</v>
          </cell>
          <cell r="J756" t="str">
            <v>North Central Michigan College District</v>
          </cell>
          <cell r="K756" t="str">
            <v>North Central Michigan College Foundation</v>
          </cell>
          <cell r="O756" t="str">
            <v>IQ58013985</v>
          </cell>
          <cell r="P756" t="str">
            <v>IQ182304954</v>
          </cell>
          <cell r="Q756" t="str">
            <v>IQ4564570</v>
          </cell>
        </row>
        <row r="757">
          <cell r="I757" t="str">
            <v>Northern Michigan University</v>
          </cell>
          <cell r="J757" t="str">
            <v>Northern Michigan University Board of Control</v>
          </cell>
          <cell r="O757" t="str">
            <v>IQ4293072</v>
          </cell>
          <cell r="P757" t="str">
            <v>IQ224163999</v>
          </cell>
        </row>
        <row r="758">
          <cell r="I758" t="str">
            <v>Northwestern Michigan College</v>
          </cell>
          <cell r="O758" t="str">
            <v>IQ4533714</v>
          </cell>
        </row>
        <row r="759">
          <cell r="I759" t="str">
            <v>Oakland Community College</v>
          </cell>
          <cell r="O759" t="str">
            <v>IQ4258294</v>
          </cell>
        </row>
        <row r="760">
          <cell r="I760" t="str">
            <v>Oakland University</v>
          </cell>
          <cell r="J760" t="str">
            <v>Oakland University Board of Trustees</v>
          </cell>
          <cell r="K760" t="str">
            <v>Oakland University School of Engineering and Computer Science</v>
          </cell>
          <cell r="O760" t="str">
            <v>IQ4249512</v>
          </cell>
          <cell r="P760" t="str">
            <v>IQ139086788</v>
          </cell>
          <cell r="Q760" t="str">
            <v>IQ10779717</v>
          </cell>
        </row>
        <row r="762">
          <cell r="I762" t="str">
            <v>Schoolcraft College</v>
          </cell>
          <cell r="O762" t="str">
            <v>IQ4301441</v>
          </cell>
        </row>
        <row r="763">
          <cell r="I763" t="str">
            <v>St Clair County Community College</v>
          </cell>
          <cell r="O763" t="str">
            <v>IQ4423361</v>
          </cell>
        </row>
        <row r="764">
          <cell r="I764" t="str">
            <v>Southwestern Michigan College</v>
          </cell>
          <cell r="J764" t="str">
            <v>Southwestern Michigan College Michigan Cass &amp; Van Buren</v>
          </cell>
          <cell r="O764" t="str">
            <v>IQ6706632</v>
          </cell>
          <cell r="P764" t="str">
            <v>IQ58025670</v>
          </cell>
        </row>
        <row r="766">
          <cell r="I766" t="str">
            <v>Washtenaw Community College, Michigan</v>
          </cell>
          <cell r="O766" t="str">
            <v>IQ4281084</v>
          </cell>
        </row>
        <row r="767">
          <cell r="I767" t="str">
            <v>Wayne County Community College District</v>
          </cell>
          <cell r="O767" t="str">
            <v>IQ4322989</v>
          </cell>
        </row>
        <row r="768">
          <cell r="I768" t="str">
            <v>Wayne State University</v>
          </cell>
          <cell r="O768" t="str">
            <v>IQ4200926</v>
          </cell>
        </row>
        <row r="769">
          <cell r="I769" t="str">
            <v>West Shore Community College</v>
          </cell>
          <cell r="O769" t="str">
            <v>IQ6907395</v>
          </cell>
        </row>
        <row r="770">
          <cell r="I770" t="str">
            <v>Western Michigan University</v>
          </cell>
          <cell r="J770" t="str">
            <v>Western Michigan University School Of Medicine</v>
          </cell>
          <cell r="O770" t="str">
            <v>IQ4223256</v>
          </cell>
          <cell r="P770" t="str">
            <v>IQ224093661</v>
          </cell>
        </row>
        <row r="774">
          <cell r="I774" t="str">
            <v>Riverland Community College Austin</v>
          </cell>
          <cell r="O774" t="str">
            <v>IQ251908454</v>
          </cell>
        </row>
        <row r="776">
          <cell r="I776" t="str">
            <v>Bemidji State University</v>
          </cell>
          <cell r="J776" t="str">
            <v>Bemidji State University Foundation</v>
          </cell>
          <cell r="O776" t="str">
            <v>IQ4398697</v>
          </cell>
          <cell r="P776" t="str">
            <v>IQ240772380</v>
          </cell>
        </row>
        <row r="783">
          <cell r="I783" t="str">
            <v>Hibbing Community College, A Technical And Community College</v>
          </cell>
          <cell r="O783" t="str">
            <v>IQ4546399</v>
          </cell>
        </row>
        <row r="784">
          <cell r="I784" t="str">
            <v>Inver Hills Community College</v>
          </cell>
          <cell r="O784" t="str">
            <v>IQ6816656</v>
          </cell>
        </row>
        <row r="785">
          <cell r="I785" t="str">
            <v>Itasca Community College</v>
          </cell>
          <cell r="O785" t="str">
            <v>IQ6919556</v>
          </cell>
        </row>
        <row r="787">
          <cell r="I787" t="str">
            <v>Minnesota State University, Mankato</v>
          </cell>
          <cell r="J787" t="str">
            <v>Minnesota State University Mankato Foundation Inc</v>
          </cell>
          <cell r="K787" t="str">
            <v>Minnesota State University, Mankato College of Business</v>
          </cell>
          <cell r="O787" t="str">
            <v>IQ4293077</v>
          </cell>
          <cell r="P787" t="str">
            <v>IQ145366027</v>
          </cell>
          <cell r="Q787" t="str">
            <v>IQ114172497</v>
          </cell>
        </row>
        <row r="789">
          <cell r="I789" t="str">
            <v>Metropolitan State University</v>
          </cell>
          <cell r="O789" t="str">
            <v>IQ6181189</v>
          </cell>
        </row>
        <row r="790">
          <cell r="I790" t="str">
            <v>University of Minnesota, Twin Cities</v>
          </cell>
          <cell r="O790" t="str">
            <v>IQ3759076</v>
          </cell>
        </row>
        <row r="793">
          <cell r="I793" t="str">
            <v>University of Minnesota, Duluth</v>
          </cell>
          <cell r="O793" t="str">
            <v>IQ6191018</v>
          </cell>
        </row>
        <row r="795">
          <cell r="I795" t="str">
            <v>Minnesota State University Moorhead</v>
          </cell>
          <cell r="O795" t="str">
            <v>IQ4393080</v>
          </cell>
        </row>
        <row r="796">
          <cell r="I796" t="str">
            <v>North Hennepin Community College</v>
          </cell>
          <cell r="O796" t="str">
            <v>IQ4449987</v>
          </cell>
        </row>
        <row r="797">
          <cell r="I797" t="str">
            <v>Normandale Community College</v>
          </cell>
          <cell r="O797" t="str">
            <v>IQ6706691</v>
          </cell>
        </row>
        <row r="804">
          <cell r="I804" t="str">
            <v>Saint Paul College - A Community &amp; Technical College</v>
          </cell>
          <cell r="O804" t="str">
            <v>IQ6551098</v>
          </cell>
        </row>
        <row r="805">
          <cell r="I805" t="str">
            <v>Southwest Minnesota State University</v>
          </cell>
          <cell r="O805" t="str">
            <v>IQ39583728</v>
          </cell>
        </row>
        <row r="808">
          <cell r="I808" t="str">
            <v>Minnesota State College-Southeast Technical</v>
          </cell>
          <cell r="O808" t="str">
            <v>IQ4596027</v>
          </cell>
        </row>
        <row r="810">
          <cell r="I810" t="str">
            <v>Century College</v>
          </cell>
          <cell r="O810" t="str">
            <v>IQ6550377</v>
          </cell>
        </row>
        <row r="811">
          <cell r="I811" t="str">
            <v>Alcorn State University</v>
          </cell>
          <cell r="J811" t="str">
            <v>Alcorn State University Foundation Inc</v>
          </cell>
          <cell r="K811" t="str">
            <v>The Alcorn State University Educational Building Corporation</v>
          </cell>
          <cell r="O811" t="str">
            <v>IQ6517588</v>
          </cell>
          <cell r="P811" t="str">
            <v>IQ222549150</v>
          </cell>
          <cell r="Q811" t="str">
            <v>IQ57979952</v>
          </cell>
        </row>
        <row r="812">
          <cell r="I812" t="str">
            <v>Coahoma Community College</v>
          </cell>
          <cell r="J812" t="str">
            <v>Coahoma Community College District Mississippi</v>
          </cell>
          <cell r="O812" t="str">
            <v>IQ6910236</v>
          </cell>
          <cell r="P812" t="str">
            <v>IQ57988789</v>
          </cell>
        </row>
        <row r="814">
          <cell r="I814" t="str">
            <v>Delta State University</v>
          </cell>
          <cell r="J814" t="str">
            <v>Delta State University Foundation LLC</v>
          </cell>
          <cell r="K814" t="str">
            <v>Delta State University Educational Building Corp.</v>
          </cell>
          <cell r="L814" t="str">
            <v>Delta State University (Inc)</v>
          </cell>
          <cell r="O814" t="str">
            <v>IQ13223594</v>
          </cell>
          <cell r="P814" t="str">
            <v>IQ139423620</v>
          </cell>
          <cell r="Q814" t="str">
            <v>IQ57991735</v>
          </cell>
          <cell r="R814" t="str">
            <v>IQ4439808</v>
          </cell>
        </row>
        <row r="815">
          <cell r="I815" t="str">
            <v>East Central Community College</v>
          </cell>
          <cell r="O815" t="str">
            <v>IQ4515622</v>
          </cell>
        </row>
        <row r="816">
          <cell r="I816" t="str">
            <v>East Mississippi Community College</v>
          </cell>
          <cell r="J816" t="str">
            <v>East Mississippi Community College District</v>
          </cell>
          <cell r="O816" t="str">
            <v>IQ4458671</v>
          </cell>
          <cell r="P816" t="str">
            <v>IQ57993103</v>
          </cell>
        </row>
        <row r="817">
          <cell r="I817" t="str">
            <v>Hinds Community College District Mississippi</v>
          </cell>
          <cell r="O817" t="str">
            <v>IQ58000600</v>
          </cell>
        </row>
        <row r="818">
          <cell r="I818" t="str">
            <v>Holmes Community College</v>
          </cell>
          <cell r="O818" t="str">
            <v>IQ49214852</v>
          </cell>
        </row>
        <row r="819">
          <cell r="I819" t="str">
            <v>Itawamba Community College District Mississippi Certificates Partnership</v>
          </cell>
          <cell r="J819" t="str">
            <v>Itawamba Community College District Mississippi</v>
          </cell>
          <cell r="O819" t="str">
            <v>IQ58002204</v>
          </cell>
          <cell r="P819" t="str">
            <v>IQ58002203</v>
          </cell>
        </row>
        <row r="820">
          <cell r="I820" t="str">
            <v>Jackson State University</v>
          </cell>
          <cell r="O820" t="str">
            <v>IQ4259317</v>
          </cell>
        </row>
        <row r="822">
          <cell r="I822" t="str">
            <v>Meridian Community College</v>
          </cell>
          <cell r="J822" t="str">
            <v>Meridian Community College District</v>
          </cell>
          <cell r="O822" t="str">
            <v>IQ6675082</v>
          </cell>
          <cell r="P822" t="str">
            <v>IQ138907136</v>
          </cell>
        </row>
        <row r="825">
          <cell r="I825" t="str">
            <v>University of Mississippi - Oxford</v>
          </cell>
          <cell r="J825" t="str">
            <v>University Of Mississippi Medical Center</v>
          </cell>
          <cell r="K825" t="str">
            <v>The University of Mississippi Educational Building Corp.</v>
          </cell>
          <cell r="L825" t="str">
            <v>University Of Mississippi School Of Pharmacy</v>
          </cell>
          <cell r="M825" t="str">
            <v>University of Mississippi at Hattiesburg</v>
          </cell>
          <cell r="O825" t="str">
            <v>IQ4108487</v>
          </cell>
          <cell r="P825" t="str">
            <v>IQ22614911</v>
          </cell>
          <cell r="Q825" t="str">
            <v>IQ58029427</v>
          </cell>
          <cell r="R825" t="str">
            <v>IQ22024252</v>
          </cell>
          <cell r="S825" t="str">
            <v>IQ13239878</v>
          </cell>
        </row>
        <row r="826">
          <cell r="I826" t="str">
            <v>University Of Mississippi Medical Center</v>
          </cell>
          <cell r="J826" t="str">
            <v>University of Mississippi Medical Center Grenada</v>
          </cell>
          <cell r="O826" t="str">
            <v>IQ22614911</v>
          </cell>
          <cell r="P826" t="str">
            <v>IQ51826017</v>
          </cell>
        </row>
        <row r="827">
          <cell r="I827" t="str">
            <v>Mississippi University For Women</v>
          </cell>
          <cell r="O827" t="str">
            <v>IQ225001676</v>
          </cell>
        </row>
        <row r="829">
          <cell r="I829" t="str">
            <v>Mississippi Gulf Coast Community College</v>
          </cell>
          <cell r="O829" t="str">
            <v>IQ4304577</v>
          </cell>
        </row>
        <row r="830">
          <cell r="I830" t="str">
            <v>Mississippi State University</v>
          </cell>
          <cell r="J830" t="str">
            <v>Mississippi State University Foundation, Inc.</v>
          </cell>
          <cell r="K830" t="str">
            <v>Mississippi State University Extension Service</v>
          </cell>
          <cell r="O830" t="str">
            <v>IQ4162305</v>
          </cell>
          <cell r="P830" t="str">
            <v>IQ6571915</v>
          </cell>
          <cell r="Q830" t="str">
            <v>IQ4474276</v>
          </cell>
        </row>
        <row r="832">
          <cell r="I832" t="str">
            <v>Northwest Mississippi Community College</v>
          </cell>
          <cell r="O832" t="str">
            <v>IQ4329363</v>
          </cell>
        </row>
        <row r="833">
          <cell r="I833" t="str">
            <v>Pearl River Community College</v>
          </cell>
          <cell r="O833" t="str">
            <v>IQ4591378</v>
          </cell>
        </row>
        <row r="834">
          <cell r="I834" t="str">
            <v>Southwest Mississippi Community College</v>
          </cell>
          <cell r="O834" t="str">
            <v>IQ53119465</v>
          </cell>
        </row>
        <row r="835">
          <cell r="I835" t="str">
            <v>University Of Southern Mississippi</v>
          </cell>
          <cell r="J835" t="str">
            <v>University Of Southern Mississippi Federal Credit Union</v>
          </cell>
          <cell r="K835" t="str">
            <v>University of Southern Mississippi Honors College</v>
          </cell>
          <cell r="L835" t="str">
            <v>University Of Southern Mississippi Alumni Association</v>
          </cell>
          <cell r="O835" t="str">
            <v>IQ4251749</v>
          </cell>
          <cell r="P835" t="str">
            <v>IQ127373891</v>
          </cell>
          <cell r="Q835" t="str">
            <v>IQ31207182</v>
          </cell>
          <cell r="R835" t="str">
            <v>IQ4220859</v>
          </cell>
        </row>
        <row r="837">
          <cell r="I837" t="str">
            <v>University of Central Missouri</v>
          </cell>
          <cell r="J837" t="str">
            <v>University of Central Missouri, Endowment Arm</v>
          </cell>
          <cell r="O837" t="str">
            <v>IQ4258557</v>
          </cell>
          <cell r="P837" t="str">
            <v>IQ253212431</v>
          </cell>
        </row>
        <row r="840">
          <cell r="I840" t="str">
            <v>Crowder College</v>
          </cell>
          <cell r="J840" t="str">
            <v>Crowder College Facilities Corporation</v>
          </cell>
          <cell r="O840" t="str">
            <v>IQ40271320</v>
          </cell>
          <cell r="P840" t="str">
            <v>IQ143174749</v>
          </cell>
        </row>
        <row r="844">
          <cell r="I844" t="str">
            <v>Harris-Stowe State University Alumni Association, Inc.</v>
          </cell>
          <cell r="O844" t="str">
            <v>IQ6710318</v>
          </cell>
        </row>
        <row r="845">
          <cell r="I845" t="str">
            <v>Jefferson College Missouri Educational Facilities Authority</v>
          </cell>
          <cell r="O845" t="str">
            <v>IQ58002665</v>
          </cell>
        </row>
        <row r="847">
          <cell r="I847" t="str">
            <v>Lincoln University</v>
          </cell>
          <cell r="O847" t="str">
            <v>IQ6832732</v>
          </cell>
        </row>
        <row r="851">
          <cell r="I851" t="str">
            <v>Missouri Southern State University</v>
          </cell>
          <cell r="O851" t="str">
            <v>IQ30687247</v>
          </cell>
        </row>
        <row r="852">
          <cell r="I852" t="str">
            <v>Missouri Western State University</v>
          </cell>
          <cell r="J852" t="str">
            <v>Missouri Western State University Fndn</v>
          </cell>
          <cell r="O852" t="str">
            <v>IQ6181204</v>
          </cell>
          <cell r="P852" t="str">
            <v>IQ142906769</v>
          </cell>
        </row>
        <row r="855">
          <cell r="I855" t="str">
            <v>University of Missouri, Rolla</v>
          </cell>
          <cell r="O855" t="str">
            <v>IQ6191058</v>
          </cell>
        </row>
        <row r="856">
          <cell r="I856" t="str">
            <v>University of Missouri, St. Louis</v>
          </cell>
          <cell r="O856" t="str">
            <v>IQ6191060</v>
          </cell>
        </row>
        <row r="858">
          <cell r="I858" t="str">
            <v>Moberly Area Community College</v>
          </cell>
          <cell r="O858" t="str">
            <v>IQ4662928</v>
          </cell>
        </row>
        <row r="861">
          <cell r="I861" t="str">
            <v>Truman State University</v>
          </cell>
          <cell r="O861" t="str">
            <v>IQ4277279</v>
          </cell>
        </row>
        <row r="862">
          <cell r="I862" t="str">
            <v>Northwest Missouri State University</v>
          </cell>
          <cell r="O862" t="str">
            <v>IQ6181509</v>
          </cell>
        </row>
        <row r="868">
          <cell r="I868" t="str">
            <v>State Fair Community College</v>
          </cell>
          <cell r="J868" t="str">
            <v>STATE Fair Community College Facilities Corp Missouri Certificates Partnership</v>
          </cell>
          <cell r="O868" t="str">
            <v>IQ6701657</v>
          </cell>
          <cell r="P868" t="str">
            <v>IQ58026565</v>
          </cell>
        </row>
        <row r="869">
          <cell r="I869" t="str">
            <v>Southeast Missouri State University</v>
          </cell>
          <cell r="O869" t="str">
            <v>IQ4518558</v>
          </cell>
        </row>
        <row r="871">
          <cell r="I871" t="str">
            <v>Three Rivers Community College</v>
          </cell>
          <cell r="J871" t="str">
            <v>Three Rivers Community College District</v>
          </cell>
          <cell r="K871" t="str">
            <v>Three Rivers Community College Building Corp, Missouri</v>
          </cell>
          <cell r="O871" t="str">
            <v>IQ20701446</v>
          </cell>
          <cell r="P871" t="str">
            <v>IQ216320439</v>
          </cell>
          <cell r="Q871" t="str">
            <v>IQ58028146</v>
          </cell>
        </row>
        <row r="875">
          <cell r="I875" t="str">
            <v>Dawson Community College District Mont</v>
          </cell>
          <cell r="O875" t="str">
            <v>IQ57991243</v>
          </cell>
        </row>
        <row r="876">
          <cell r="I876" t="str">
            <v>Chief Dull Knife College, Inc</v>
          </cell>
          <cell r="O876" t="str">
            <v>IQ109000439</v>
          </cell>
        </row>
        <row r="877">
          <cell r="I877" t="str">
            <v>Montana State University-Billings</v>
          </cell>
          <cell r="O877" t="str">
            <v>IQ4361109</v>
          </cell>
        </row>
        <row r="878">
          <cell r="I878" t="str">
            <v>Flathead Valley Community College Foundation, Inc.</v>
          </cell>
          <cell r="O878" t="str">
            <v>IQ4630064</v>
          </cell>
        </row>
        <row r="880">
          <cell r="I880" t="str">
            <v>Fort Peck Community College</v>
          </cell>
          <cell r="O880" t="str">
            <v>IQ51790920</v>
          </cell>
        </row>
        <row r="884">
          <cell r="I884" t="str">
            <v>Miles Community College</v>
          </cell>
          <cell r="O884" t="str">
            <v>IQ113494846</v>
          </cell>
        </row>
        <row r="885">
          <cell r="I885" t="str">
            <v>Montana Tech Of The University Of Montana</v>
          </cell>
          <cell r="O885" t="str">
            <v>IQ4794012</v>
          </cell>
        </row>
        <row r="886">
          <cell r="I886" t="str">
            <v>Montana State University</v>
          </cell>
          <cell r="O886" t="str">
            <v>IQ4322703</v>
          </cell>
        </row>
        <row r="887">
          <cell r="I887" t="str">
            <v>University Of Montana Foundation</v>
          </cell>
          <cell r="O887" t="str">
            <v>IQ46776412</v>
          </cell>
        </row>
        <row r="890">
          <cell r="I890" t="str">
            <v>Central Community College Area, Nebraska</v>
          </cell>
          <cell r="J890" t="str">
            <v>Central Community College Facilities Corporation</v>
          </cell>
          <cell r="K890" t="str">
            <v>Central Community College Grand Island Campus</v>
          </cell>
          <cell r="O890" t="str">
            <v>IQ57986949</v>
          </cell>
          <cell r="P890" t="str">
            <v>IQ231948509</v>
          </cell>
          <cell r="Q890" t="str">
            <v>IQ4323533</v>
          </cell>
        </row>
        <row r="892">
          <cell r="I892" t="str">
            <v>University of Nebraska at Kearney</v>
          </cell>
          <cell r="O892" t="str">
            <v>IQ6191341</v>
          </cell>
        </row>
        <row r="894">
          <cell r="I894" t="str">
            <v>Mid Plains Community College</v>
          </cell>
          <cell r="J894" t="str">
            <v>Mid-plains Community College Area Facilities Corporation</v>
          </cell>
          <cell r="O894" t="str">
            <v>IQ4560665</v>
          </cell>
          <cell r="P894" t="str">
            <v>IQ225948271</v>
          </cell>
        </row>
        <row r="898">
          <cell r="I898" t="str">
            <v>University of Nebraska - Lincoln</v>
          </cell>
          <cell r="J898" t="str">
            <v>University of Nebraska - Lincoln College of Law</v>
          </cell>
          <cell r="O898" t="str">
            <v>IQ3777804</v>
          </cell>
          <cell r="P898" t="str">
            <v>IQ7700919</v>
          </cell>
        </row>
        <row r="899">
          <cell r="I899" t="str">
            <v>Northeast Community College</v>
          </cell>
          <cell r="O899" t="str">
            <v>IQ13226221</v>
          </cell>
        </row>
        <row r="900">
          <cell r="I900" t="str">
            <v>Peru State College</v>
          </cell>
          <cell r="O900" t="str">
            <v>IQ6182856</v>
          </cell>
        </row>
        <row r="901">
          <cell r="I901" t="str">
            <v>Southeast Community College Area</v>
          </cell>
          <cell r="J901" t="str">
            <v>Southeast Community College Area Nebraska Revenue</v>
          </cell>
          <cell r="O901" t="str">
            <v>IQ4303409</v>
          </cell>
          <cell r="P901" t="str">
            <v>IQ58025449</v>
          </cell>
        </row>
        <row r="907">
          <cell r="I907" t="str">
            <v>University of Nevada, Las Vegas</v>
          </cell>
          <cell r="O907" t="str">
            <v>IQ7618464</v>
          </cell>
        </row>
        <row r="908">
          <cell r="I908" t="str">
            <v>University of Nevada, Reno</v>
          </cell>
          <cell r="J908" t="str">
            <v>University Health System</v>
          </cell>
          <cell r="K908" t="str">
            <v>University Health Systems Inc</v>
          </cell>
          <cell r="O908" t="str">
            <v>IQ6191366</v>
          </cell>
          <cell r="P908" t="str">
            <v>IQ208358781</v>
          </cell>
          <cell r="Q908" t="str">
            <v>IQ54127015</v>
          </cell>
        </row>
        <row r="909">
          <cell r="I909" t="str">
            <v>Great Basin College</v>
          </cell>
          <cell r="O909" t="str">
            <v>IQ163258832</v>
          </cell>
        </row>
        <row r="910">
          <cell r="I910" t="str">
            <v>Truckee Meadows Community College</v>
          </cell>
          <cell r="O910" t="str">
            <v>IQ139448328</v>
          </cell>
        </row>
        <row r="914">
          <cell r="I914" t="str">
            <v>Keene State College</v>
          </cell>
          <cell r="O914" t="str">
            <v>IQ6179978</v>
          </cell>
        </row>
        <row r="916">
          <cell r="I916" t="str">
            <v>Plymouth State College</v>
          </cell>
          <cell r="J916" t="str">
            <v>Plymouth State University Dining Services</v>
          </cell>
          <cell r="O916" t="str">
            <v>IQ6182891</v>
          </cell>
          <cell r="P916" t="str">
            <v>IQ243436829</v>
          </cell>
        </row>
        <row r="917">
          <cell r="I917" t="str">
            <v>NHTI-Concord's Community College</v>
          </cell>
          <cell r="O917" t="str">
            <v>IQ169125216</v>
          </cell>
        </row>
        <row r="921">
          <cell r="I921" t="str">
            <v>Manchester Community College</v>
          </cell>
          <cell r="O921" t="str">
            <v>IQ38721698</v>
          </cell>
        </row>
        <row r="926">
          <cell r="I926" t="str">
            <v>Atlantic Cape Community College</v>
          </cell>
          <cell r="O926" t="str">
            <v>IQ4392922</v>
          </cell>
        </row>
        <row r="927">
          <cell r="I927" t="str">
            <v>Bergen Community College (Inc)</v>
          </cell>
          <cell r="O927" t="str">
            <v>IQ4293266</v>
          </cell>
        </row>
        <row r="928">
          <cell r="I928" t="str">
            <v>Brookdale Community College Inc</v>
          </cell>
          <cell r="O928" t="str">
            <v>IQ4291153</v>
          </cell>
        </row>
        <row r="929">
          <cell r="I929" t="str">
            <v>Burlington County College</v>
          </cell>
          <cell r="O929" t="str">
            <v>IQ4370483</v>
          </cell>
        </row>
        <row r="930">
          <cell r="I930" t="str">
            <v>Camden County College</v>
          </cell>
          <cell r="O930" t="str">
            <v>IQ4291012</v>
          </cell>
        </row>
        <row r="933">
          <cell r="I933" t="str">
            <v>Cumberland County College</v>
          </cell>
          <cell r="O933" t="str">
            <v>IQ27973043</v>
          </cell>
        </row>
        <row r="934">
          <cell r="I934" t="str">
            <v>Essex County College</v>
          </cell>
          <cell r="O934" t="str">
            <v>IQ7827696</v>
          </cell>
        </row>
        <row r="935">
          <cell r="I935" t="str">
            <v>Rowan University</v>
          </cell>
          <cell r="J935" t="str">
            <v>Rowan University/Rutgers-Camden Board Of Governors</v>
          </cell>
          <cell r="K935" t="str">
            <v>Rowan University Foundation, Inc.</v>
          </cell>
          <cell r="O935" t="str">
            <v>IQ4257270</v>
          </cell>
          <cell r="P935" t="str">
            <v>IQ270610696</v>
          </cell>
          <cell r="Q935" t="str">
            <v>IQ7375925</v>
          </cell>
        </row>
        <row r="936">
          <cell r="I936" t="str">
            <v>Gloucester County College</v>
          </cell>
          <cell r="O936" t="str">
            <v>IQ4480337</v>
          </cell>
        </row>
        <row r="937">
          <cell r="I937" t="str">
            <v>Hudson County Community College Foundation Inc.</v>
          </cell>
          <cell r="O937" t="str">
            <v>IQ4374129</v>
          </cell>
        </row>
        <row r="938">
          <cell r="I938" t="str">
            <v>New Jersey City University</v>
          </cell>
          <cell r="O938" t="str">
            <v>IQ4335372</v>
          </cell>
        </row>
        <row r="939">
          <cell r="I939" t="str">
            <v>Kean University</v>
          </cell>
          <cell r="O939" t="str">
            <v>IQ4260572</v>
          </cell>
        </row>
        <row r="940">
          <cell r="I940" t="str">
            <v>Mercer County Community College</v>
          </cell>
          <cell r="O940" t="str">
            <v>IQ4772566</v>
          </cell>
        </row>
        <row r="941">
          <cell r="I941" t="str">
            <v>Middlesex County College Inc</v>
          </cell>
          <cell r="O941" t="str">
            <v>IQ4301339</v>
          </cell>
        </row>
        <row r="942">
          <cell r="I942" t="str">
            <v>Montclair State University</v>
          </cell>
          <cell r="O942" t="str">
            <v>IQ4277503</v>
          </cell>
        </row>
        <row r="943">
          <cell r="I943" t="str">
            <v>New Jersey Institute Of Technology</v>
          </cell>
          <cell r="O943" t="str">
            <v>IQ4271495</v>
          </cell>
        </row>
        <row r="944">
          <cell r="I944" t="str">
            <v>Ocean County College</v>
          </cell>
          <cell r="O944" t="str">
            <v>IQ6527298</v>
          </cell>
        </row>
        <row r="945">
          <cell r="I945" t="str">
            <v>Passaic County Community College (Inc)</v>
          </cell>
          <cell r="O945" t="str">
            <v>IQ6694865</v>
          </cell>
        </row>
        <row r="948">
          <cell r="I948" t="str">
            <v>Salem Community College</v>
          </cell>
          <cell r="O948" t="str">
            <v>IQ37559399</v>
          </cell>
        </row>
        <row r="949">
          <cell r="I949" t="str">
            <v>Raritan Valley Community College Inc</v>
          </cell>
          <cell r="O949" t="str">
            <v>IQ4361354</v>
          </cell>
        </row>
        <row r="951">
          <cell r="I951" t="str">
            <v>Thomas Edison State College</v>
          </cell>
          <cell r="J951" t="str">
            <v>Thomas Edison State College Foundation Inc</v>
          </cell>
          <cell r="O951" t="str">
            <v>IQ4333269</v>
          </cell>
          <cell r="P951" t="str">
            <v>IQ114440560</v>
          </cell>
        </row>
        <row r="953">
          <cell r="I953" t="str">
            <v>Union County College</v>
          </cell>
          <cell r="O953" t="str">
            <v>IQ4319722</v>
          </cell>
        </row>
        <row r="954">
          <cell r="I954" t="str">
            <v>William Paterson University</v>
          </cell>
          <cell r="J954" t="str">
            <v>The William Paterson University Of New Jersey Foundation Inc</v>
          </cell>
          <cell r="O954" t="str">
            <v>IQ6489476</v>
          </cell>
          <cell r="P954" t="str">
            <v>IQ280839424</v>
          </cell>
        </row>
        <row r="955">
          <cell r="I955" t="str">
            <v>Central New Mexico Community College</v>
          </cell>
          <cell r="O955" t="str">
            <v>IQ6573311</v>
          </cell>
        </row>
        <row r="958">
          <cell r="I958" t="str">
            <v>Clovis Community College</v>
          </cell>
          <cell r="J958" t="str">
            <v>Clovis Community College District,New Mexico</v>
          </cell>
          <cell r="O958" t="str">
            <v>IQ6728526</v>
          </cell>
          <cell r="P958" t="str">
            <v>IQ57988753</v>
          </cell>
        </row>
        <row r="962">
          <cell r="I962" t="str">
            <v>New Mexico Highlands University Revenues</v>
          </cell>
          <cell r="O962" t="str">
            <v>IQ58013227</v>
          </cell>
        </row>
        <row r="963">
          <cell r="I963" t="str">
            <v>New Mexico Junior College</v>
          </cell>
          <cell r="O963" t="str">
            <v>IQ6900664</v>
          </cell>
        </row>
        <row r="964">
          <cell r="I964" t="str">
            <v>New Mexico Military Institute Inc</v>
          </cell>
          <cell r="J964" t="str">
            <v>New Mexico Military Institute Foundation Inc</v>
          </cell>
          <cell r="O964" t="str">
            <v>IQ6711237</v>
          </cell>
          <cell r="P964" t="str">
            <v>IQ145999285</v>
          </cell>
        </row>
        <row r="966">
          <cell r="I966" t="str">
            <v>New Mexico Institute Of Mining And Technology</v>
          </cell>
          <cell r="O966" t="str">
            <v>IQ4275730</v>
          </cell>
        </row>
        <row r="974">
          <cell r="I974" t="str">
            <v>Northern New Mexico College Foundation</v>
          </cell>
          <cell r="O974" t="str">
            <v>IQ4514113</v>
          </cell>
        </row>
        <row r="975">
          <cell r="I975" t="str">
            <v>San Juan College</v>
          </cell>
          <cell r="O975" t="str">
            <v>IQ4297842</v>
          </cell>
        </row>
        <row r="977">
          <cell r="I977" t="str">
            <v>Southwestern Indian Polytechnic Institute</v>
          </cell>
          <cell r="O977" t="str">
            <v>IQ114438593</v>
          </cell>
        </row>
        <row r="980">
          <cell r="I980" t="str">
            <v>Western New Mexico University</v>
          </cell>
          <cell r="J980" t="str">
            <v>Western New Mexico University - Board of Regents</v>
          </cell>
          <cell r="K980" t="str">
            <v>Western New Mexico University Revenues</v>
          </cell>
          <cell r="O980" t="str">
            <v>IQ6206641</v>
          </cell>
          <cell r="P980" t="str">
            <v>IQ139135008</v>
          </cell>
          <cell r="Q980" t="str">
            <v>IQ58032300</v>
          </cell>
        </row>
        <row r="985">
          <cell r="I985" t="str">
            <v>Clinton Community College</v>
          </cell>
          <cell r="O985" t="str">
            <v>IQ38722142</v>
          </cell>
        </row>
        <row r="986">
          <cell r="I986" t="str">
            <v>Columbia Greene Community College</v>
          </cell>
          <cell r="O986" t="str">
            <v>IQ40258567</v>
          </cell>
        </row>
        <row r="987">
          <cell r="I987" t="str">
            <v>Corning Community College</v>
          </cell>
          <cell r="O987" t="str">
            <v>IQ4399678</v>
          </cell>
        </row>
        <row r="1007">
          <cell r="I1007" t="str">
            <v>Dutchess Community College</v>
          </cell>
          <cell r="O1007" t="str">
            <v>IQ4370476</v>
          </cell>
        </row>
        <row r="1008">
          <cell r="I1008" t="str">
            <v>Erie Community College</v>
          </cell>
          <cell r="J1008" t="str">
            <v>The Erie Community College Foundation</v>
          </cell>
          <cell r="O1008" t="str">
            <v>IQ38445201</v>
          </cell>
          <cell r="P1008" t="str">
            <v>IQ61752364</v>
          </cell>
        </row>
        <row r="1009">
          <cell r="I1009" t="str">
            <v>Fashion Institute of Technology - State University of New York</v>
          </cell>
          <cell r="O1009" t="str">
            <v>IQ37613646</v>
          </cell>
        </row>
        <row r="1010">
          <cell r="I1010" t="str">
            <v>Finger Lakes Community College</v>
          </cell>
          <cell r="O1010" t="str">
            <v>IQ4427200</v>
          </cell>
        </row>
        <row r="1012">
          <cell r="I1012" t="str">
            <v>Genesee Community College</v>
          </cell>
          <cell r="O1012" t="str">
            <v>IQ4468856</v>
          </cell>
        </row>
        <row r="1013">
          <cell r="I1013" t="str">
            <v>Herkimer County Community College</v>
          </cell>
          <cell r="O1013" t="str">
            <v>IQ40482727</v>
          </cell>
        </row>
        <row r="1014">
          <cell r="I1014" t="str">
            <v>Hudson Valley Community College</v>
          </cell>
          <cell r="J1014" t="str">
            <v>Hudson Valley Community College- Faculty Student Association Inc.</v>
          </cell>
          <cell r="O1014" t="str">
            <v>IQ6528180</v>
          </cell>
          <cell r="P1014" t="str">
            <v>IQ51813491</v>
          </cell>
        </row>
        <row r="1015">
          <cell r="I1015" t="str">
            <v>Jamestown Community College Federal Credit Union</v>
          </cell>
          <cell r="O1015" t="str">
            <v>IQ127476251</v>
          </cell>
        </row>
        <row r="1016">
          <cell r="I1016" t="str">
            <v>Jefferson Community College</v>
          </cell>
          <cell r="J1016" t="str">
            <v>Jefferson Community College Fdn</v>
          </cell>
          <cell r="O1016" t="str">
            <v>IQ6587383</v>
          </cell>
          <cell r="P1016" t="str">
            <v>IQ206972591</v>
          </cell>
        </row>
        <row r="1018">
          <cell r="I1018" t="str">
            <v>Mohawk Valley Community College</v>
          </cell>
          <cell r="O1018" t="str">
            <v>IQ7618038</v>
          </cell>
        </row>
        <row r="1019">
          <cell r="I1019" t="str">
            <v>Monroe Community College</v>
          </cell>
          <cell r="J1019" t="str">
            <v>Monroe Community College Association Inc</v>
          </cell>
          <cell r="O1019" t="str">
            <v>IQ4272916</v>
          </cell>
          <cell r="P1019" t="str">
            <v>IQ30868675</v>
          </cell>
        </row>
        <row r="1020">
          <cell r="I1020" t="str">
            <v>Nassau Community College</v>
          </cell>
          <cell r="J1020" t="str">
            <v>Nassau Community College Library</v>
          </cell>
          <cell r="O1020" t="str">
            <v>IQ6466294</v>
          </cell>
          <cell r="P1020" t="str">
            <v>IQ241672481</v>
          </cell>
        </row>
        <row r="1021">
          <cell r="I1021" t="str">
            <v>Niagara County Community College</v>
          </cell>
          <cell r="O1021" t="str">
            <v>IQ4560599</v>
          </cell>
        </row>
        <row r="1022">
          <cell r="I1022" t="str">
            <v>North Country Community College</v>
          </cell>
          <cell r="J1022" t="str">
            <v>North Country Community College Foundation</v>
          </cell>
          <cell r="O1022" t="str">
            <v>IQ6915216</v>
          </cell>
          <cell r="P1022" t="str">
            <v>IQ251976178</v>
          </cell>
        </row>
        <row r="1023">
          <cell r="I1023" t="str">
            <v>Onondaga Community College</v>
          </cell>
          <cell r="O1023" t="str">
            <v>IQ4273911</v>
          </cell>
        </row>
        <row r="1024">
          <cell r="I1024" t="str">
            <v>Orange County Community College</v>
          </cell>
          <cell r="O1024" t="str">
            <v>IQ4368395</v>
          </cell>
        </row>
        <row r="1026">
          <cell r="I1026" t="str">
            <v>Rockland Community College</v>
          </cell>
          <cell r="O1026" t="str">
            <v>IQ20586485</v>
          </cell>
        </row>
        <row r="1027">
          <cell r="I1027" t="str">
            <v>Schenectady County Community College</v>
          </cell>
          <cell r="O1027" t="str">
            <v>IQ6613867</v>
          </cell>
        </row>
        <row r="1029">
          <cell r="I1029" t="str">
            <v>Sullivan County Community College</v>
          </cell>
          <cell r="O1029" t="str">
            <v>IQ7618277</v>
          </cell>
        </row>
        <row r="1034">
          <cell r="I1034" t="str">
            <v>Farmingdale State College</v>
          </cell>
          <cell r="O1034" t="str">
            <v>IQ257026847</v>
          </cell>
        </row>
        <row r="1035">
          <cell r="I1035" t="str">
            <v>Morrisville State College</v>
          </cell>
          <cell r="O1035" t="str">
            <v>IQ37559684</v>
          </cell>
        </row>
        <row r="1038">
          <cell r="I1038" t="str">
            <v>University at Buffalo</v>
          </cell>
          <cell r="O1038" t="str">
            <v>IQ3785530</v>
          </cell>
        </row>
        <row r="1039">
          <cell r="I1039" t="str">
            <v>State University of New York at Stony Brook</v>
          </cell>
          <cell r="J1039" t="str">
            <v>Stony Brook University Hospital</v>
          </cell>
          <cell r="K1039" t="str">
            <v>State University of New York At Stony Brook School of Medicine</v>
          </cell>
          <cell r="L1039" t="str">
            <v>Stony Brook University Medical Center</v>
          </cell>
          <cell r="M1039" t="str">
            <v>Stony Brook University Campus Dining Services</v>
          </cell>
          <cell r="O1039" t="str">
            <v>IQ6184496</v>
          </cell>
          <cell r="P1039" t="str">
            <v>IQ24380677</v>
          </cell>
          <cell r="Q1039" t="str">
            <v>IQ26179838</v>
          </cell>
          <cell r="R1039" t="str">
            <v>IQ128394521</v>
          </cell>
          <cell r="S1039" t="str">
            <v>IQ243431322</v>
          </cell>
        </row>
        <row r="1042">
          <cell r="I1042" t="str">
            <v>Suny Brockport</v>
          </cell>
          <cell r="O1042" t="str">
            <v>IQ7618279</v>
          </cell>
        </row>
        <row r="1044">
          <cell r="I1044" t="str">
            <v>State University of New York College at Cortland</v>
          </cell>
          <cell r="O1044" t="str">
            <v>IQ6184498</v>
          </cell>
        </row>
        <row r="1053">
          <cell r="I1053" t="str">
            <v>S U N Y College At Old Westbury</v>
          </cell>
          <cell r="O1053" t="str">
            <v>IQ7742052</v>
          </cell>
        </row>
        <row r="1054">
          <cell r="I1054" t="str">
            <v>Suny College At Plattsburgh</v>
          </cell>
          <cell r="O1054" t="str">
            <v>IQ49216562</v>
          </cell>
        </row>
        <row r="1055">
          <cell r="I1055" t="str">
            <v>SUNY Downstate Medical Center</v>
          </cell>
          <cell r="O1055" t="str">
            <v>IQ7696927</v>
          </cell>
        </row>
        <row r="1057">
          <cell r="I1057" t="str">
            <v>New York Maritime College</v>
          </cell>
          <cell r="O1057" t="str">
            <v>IQ6181408</v>
          </cell>
        </row>
        <row r="1058">
          <cell r="I1058" t="str">
            <v>Upstate University Hospital</v>
          </cell>
          <cell r="O1058" t="str">
            <v>IQ108993860</v>
          </cell>
        </row>
        <row r="1059">
          <cell r="I1059" t="str">
            <v>Tompkins Cortland Community College</v>
          </cell>
          <cell r="O1059" t="str">
            <v>IQ51718178</v>
          </cell>
        </row>
        <row r="1060">
          <cell r="I1060" t="str">
            <v>Ulster County Community College</v>
          </cell>
          <cell r="O1060" t="str">
            <v>IQ4466261</v>
          </cell>
        </row>
        <row r="1061">
          <cell r="I1061" t="str">
            <v>United States Merchant Marine Academy Alumni Association And Foundation, Inc.</v>
          </cell>
          <cell r="O1061" t="str">
            <v>IQ253338297</v>
          </cell>
        </row>
        <row r="1062">
          <cell r="I1062" t="str">
            <v>United States Military Academy</v>
          </cell>
          <cell r="O1062" t="str">
            <v>IQ4239131</v>
          </cell>
        </row>
        <row r="1065">
          <cell r="I1065" t="str">
            <v>South Piedmont Community College Inc</v>
          </cell>
          <cell r="O1065" t="str">
            <v>IQ4589998</v>
          </cell>
        </row>
        <row r="1066">
          <cell r="I1066" t="str">
            <v>Appalachian State University</v>
          </cell>
          <cell r="O1066" t="str">
            <v>IQ4239306</v>
          </cell>
        </row>
        <row r="1068">
          <cell r="I1068" t="str">
            <v>Beaufort County Community College (Inc)</v>
          </cell>
          <cell r="O1068" t="str">
            <v>IQ51964982</v>
          </cell>
        </row>
        <row r="1070">
          <cell r="I1070" t="str">
            <v>Blue Ridge Community College Inc</v>
          </cell>
          <cell r="O1070" t="str">
            <v>IQ4664041</v>
          </cell>
        </row>
        <row r="1071">
          <cell r="I1071" t="str">
            <v>Brunswick Community College</v>
          </cell>
          <cell r="O1071" t="str">
            <v>IQ6666146</v>
          </cell>
        </row>
        <row r="1073">
          <cell r="I1073" t="str">
            <v>Cape Fear Community College</v>
          </cell>
          <cell r="O1073" t="str">
            <v>IQ4632147</v>
          </cell>
        </row>
        <row r="1074">
          <cell r="I1074" t="str">
            <v>Carteret Community College</v>
          </cell>
          <cell r="O1074" t="str">
            <v>IQ6844385</v>
          </cell>
        </row>
        <row r="1075">
          <cell r="I1075" t="str">
            <v>Catawba Valley Community College</v>
          </cell>
          <cell r="O1075" t="str">
            <v>IQ4503111</v>
          </cell>
        </row>
        <row r="1076">
          <cell r="I1076" t="str">
            <v>Central Carolina Community College</v>
          </cell>
          <cell r="O1076" t="str">
            <v>IQ4445621</v>
          </cell>
        </row>
        <row r="1077">
          <cell r="I1077" t="str">
            <v>Central Piedmont Community College</v>
          </cell>
          <cell r="J1077" t="str">
            <v>Central Piedmont Community College Foundation, Inc</v>
          </cell>
          <cell r="O1077" t="str">
            <v>IQ4271595</v>
          </cell>
          <cell r="P1077" t="str">
            <v>IQ142947628</v>
          </cell>
        </row>
        <row r="1078">
          <cell r="I1078" t="str">
            <v>Cleveland Community College</v>
          </cell>
          <cell r="J1078" t="str">
            <v>Cleveland Community College Foundation, Inc.</v>
          </cell>
          <cell r="O1078" t="str">
            <v>IQ279058918</v>
          </cell>
          <cell r="P1078" t="str">
            <v>IQ6789352</v>
          </cell>
        </row>
        <row r="1079">
          <cell r="I1079" t="str">
            <v>Coastal Carolina Community College Foundation, Inc.</v>
          </cell>
          <cell r="O1079" t="str">
            <v>IQ4509370</v>
          </cell>
        </row>
        <row r="1080">
          <cell r="I1080" t="str">
            <v>Craven Community College</v>
          </cell>
          <cell r="O1080" t="str">
            <v>IQ30766385</v>
          </cell>
        </row>
        <row r="1081">
          <cell r="I1081" t="str">
            <v>Davidson County Community College</v>
          </cell>
          <cell r="O1081" t="str">
            <v>IQ4491672</v>
          </cell>
        </row>
        <row r="1083">
          <cell r="I1083" t="str">
            <v>East Carolina University</v>
          </cell>
          <cell r="J1083" t="str">
            <v>East Carolina University Educational Foundation, Inc</v>
          </cell>
          <cell r="K1083" t="str">
            <v>East Carolina University Real Estate Foundation, Inc.</v>
          </cell>
          <cell r="L1083" t="str">
            <v>East Carolina University Credit Union</v>
          </cell>
          <cell r="M1083" t="str">
            <v>East Carolina University School of Medicine</v>
          </cell>
          <cell r="O1083" t="str">
            <v>IQ6161309</v>
          </cell>
          <cell r="P1083" t="str">
            <v>IQ280855236</v>
          </cell>
          <cell r="Q1083" t="str">
            <v>IQ248173882</v>
          </cell>
          <cell r="R1083" t="str">
            <v>IQ127178724</v>
          </cell>
          <cell r="S1083" t="str">
            <v>IQ32339418</v>
          </cell>
        </row>
        <row r="1084">
          <cell r="I1084" t="str">
            <v>Edgecombe Community College Foundation, Inc.</v>
          </cell>
          <cell r="O1084" t="str">
            <v>IQ30746084</v>
          </cell>
        </row>
        <row r="1085">
          <cell r="I1085" t="str">
            <v>Elizabeth City State University</v>
          </cell>
          <cell r="J1085" t="str">
            <v>Elizabeth City State University Housing Foundation, LLC</v>
          </cell>
          <cell r="O1085" t="str">
            <v>IQ4640236</v>
          </cell>
          <cell r="P1085" t="str">
            <v>IQ251732072</v>
          </cell>
        </row>
        <row r="1087">
          <cell r="I1087" t="str">
            <v>Fayetteville State University Student Housing Corporation</v>
          </cell>
          <cell r="J1087" t="str">
            <v>Fayetteville State University Housing LLC</v>
          </cell>
          <cell r="K1087" t="str">
            <v>Fayetteville State University</v>
          </cell>
          <cell r="O1087" t="str">
            <v>IQ251734549</v>
          </cell>
          <cell r="P1087" t="str">
            <v>IQ138621261</v>
          </cell>
          <cell r="Q1087" t="str">
            <v>IQ57994897</v>
          </cell>
        </row>
        <row r="1089">
          <cell r="I1089" t="str">
            <v>Gaston College</v>
          </cell>
          <cell r="J1089" t="str">
            <v>Gaston College Preparatory</v>
          </cell>
          <cell r="O1089" t="str">
            <v>IQ4471737</v>
          </cell>
          <cell r="P1089" t="str">
            <v>IQ53444201</v>
          </cell>
        </row>
        <row r="1091">
          <cell r="I1091" t="str">
            <v>Halifax Community College</v>
          </cell>
          <cell r="O1091" t="str">
            <v>IQ6878367</v>
          </cell>
        </row>
        <row r="1092">
          <cell r="I1092" t="str">
            <v>Haywood Community College</v>
          </cell>
          <cell r="O1092" t="str">
            <v>IQ4560306</v>
          </cell>
        </row>
        <row r="1093">
          <cell r="I1093" t="str">
            <v>Isothermal Community College</v>
          </cell>
          <cell r="O1093" t="str">
            <v>IQ4533656</v>
          </cell>
        </row>
        <row r="1094">
          <cell r="I1094" t="str">
            <v>James Sprunt Community College Inc</v>
          </cell>
          <cell r="O1094" t="str">
            <v>IQ74817721</v>
          </cell>
        </row>
        <row r="1095">
          <cell r="I1095" t="str">
            <v>Johnston Community College</v>
          </cell>
          <cell r="O1095" t="str">
            <v>IQ4470015</v>
          </cell>
        </row>
        <row r="1096">
          <cell r="I1096" t="str">
            <v>Lenoir Community College</v>
          </cell>
          <cell r="O1096" t="str">
            <v>IQ51785837</v>
          </cell>
        </row>
        <row r="1097">
          <cell r="I1097" t="str">
            <v>Martin Community College</v>
          </cell>
          <cell r="O1097" t="str">
            <v>IQ51965950</v>
          </cell>
        </row>
        <row r="1098">
          <cell r="I1098" t="str">
            <v>Mayland Community College</v>
          </cell>
          <cell r="O1098" t="str">
            <v>IQ252158864</v>
          </cell>
        </row>
        <row r="1100">
          <cell r="I1100" t="str">
            <v>Mitchell Community College Endowment For Excellence</v>
          </cell>
          <cell r="O1100" t="str">
            <v>IQ4611327</v>
          </cell>
        </row>
        <row r="1101">
          <cell r="I1101" t="str">
            <v>Fulton Montgomery Community College</v>
          </cell>
          <cell r="O1101" t="str">
            <v>IQ6753349</v>
          </cell>
        </row>
        <row r="1102">
          <cell r="I1102" t="str">
            <v>Nash Community College Foundation, Inc.</v>
          </cell>
          <cell r="O1102" t="str">
            <v>IQ51756964</v>
          </cell>
        </row>
        <row r="1103">
          <cell r="I1103" t="str">
            <v>North Carolina A&amp;T State University</v>
          </cell>
          <cell r="O1103" t="str">
            <v>IQ32957028</v>
          </cell>
        </row>
        <row r="1104">
          <cell r="I1104" t="str">
            <v>University Of North Carolina At Asheville</v>
          </cell>
          <cell r="O1104" t="str">
            <v>IQ4319779</v>
          </cell>
        </row>
        <row r="1105">
          <cell r="I1105" t="str">
            <v>University of North Carolina at Charlotte</v>
          </cell>
          <cell r="O1105" t="str">
            <v>IQ4300932</v>
          </cell>
        </row>
        <row r="1106">
          <cell r="I1106" t="str">
            <v>University of North Carolina at Greensboro</v>
          </cell>
          <cell r="J1106" t="str">
            <v>University of North Carolina at Greensboro Endowment Fund</v>
          </cell>
          <cell r="O1106" t="str">
            <v>IQ4234923</v>
          </cell>
          <cell r="P1106" t="str">
            <v>IQ3533679</v>
          </cell>
        </row>
        <row r="1107">
          <cell r="I1107" t="str">
            <v>North Carolina Central University</v>
          </cell>
          <cell r="J1107" t="str">
            <v>North Carolina Central University Foundation Inc</v>
          </cell>
          <cell r="K1107" t="str">
            <v>North Carolina Central University School Of Law</v>
          </cell>
          <cell r="O1107" t="str">
            <v>IQ4276655</v>
          </cell>
          <cell r="P1107" t="str">
            <v>IQ222797539</v>
          </cell>
          <cell r="Q1107" t="str">
            <v>IQ31140911</v>
          </cell>
        </row>
        <row r="1110">
          <cell r="I1110" t="str">
            <v>North Carolina State University</v>
          </cell>
          <cell r="O1110" t="str">
            <v>IQ4073691</v>
          </cell>
        </row>
        <row r="1113">
          <cell r="I1113" t="str">
            <v>University Of North Carolina At Pembroke</v>
          </cell>
          <cell r="O1113" t="str">
            <v>IQ4336216</v>
          </cell>
        </row>
        <row r="1116">
          <cell r="I1116" t="str">
            <v>Randolph Community College</v>
          </cell>
          <cell r="O1116" t="str">
            <v>IQ4579123</v>
          </cell>
        </row>
        <row r="1118">
          <cell r="I1118" t="str">
            <v>Roanoke-Chowan Community College</v>
          </cell>
          <cell r="O1118" t="str">
            <v>IQ241424951</v>
          </cell>
        </row>
        <row r="1119">
          <cell r="I1119" t="str">
            <v>Robeson Community College</v>
          </cell>
          <cell r="O1119" t="str">
            <v>IQ49782506</v>
          </cell>
        </row>
        <row r="1120">
          <cell r="I1120" t="str">
            <v>Rockingham Community College</v>
          </cell>
          <cell r="O1120" t="str">
            <v>IQ4581959</v>
          </cell>
        </row>
        <row r="1121">
          <cell r="I1121" t="str">
            <v>Rowan-Cabarrus Community College</v>
          </cell>
          <cell r="O1121" t="str">
            <v>IQ4469716</v>
          </cell>
        </row>
        <row r="1123">
          <cell r="I1123" t="str">
            <v>Sandhills Community College Inc</v>
          </cell>
          <cell r="O1123" t="str">
            <v>IQ4395271</v>
          </cell>
        </row>
        <row r="1124">
          <cell r="I1124" t="str">
            <v>Southeastern Community College</v>
          </cell>
          <cell r="O1124" t="str">
            <v>IQ6742400</v>
          </cell>
        </row>
        <row r="1125">
          <cell r="I1125" t="str">
            <v>Southwestern Community College</v>
          </cell>
          <cell r="O1125" t="str">
            <v>IQ4434542</v>
          </cell>
        </row>
        <row r="1127">
          <cell r="I1127" t="str">
            <v>Surry Community College</v>
          </cell>
          <cell r="O1127" t="str">
            <v>IQ4485019</v>
          </cell>
        </row>
        <row r="1128">
          <cell r="I1128" t="str">
            <v>Alamance Community College Foundation, Inc.</v>
          </cell>
          <cell r="O1128" t="str">
            <v>IQ4546827</v>
          </cell>
        </row>
        <row r="1130">
          <cell r="I1130" t="str">
            <v>Vance-Granville Community College</v>
          </cell>
          <cell r="O1130" t="str">
            <v>IQ6649532</v>
          </cell>
        </row>
        <row r="1132">
          <cell r="I1132" t="str">
            <v>Wayne Community College</v>
          </cell>
          <cell r="O1132" t="str">
            <v>IQ40455376</v>
          </cell>
        </row>
        <row r="1133">
          <cell r="I1133" t="str">
            <v>Western Piedmont Community College</v>
          </cell>
          <cell r="O1133" t="str">
            <v>IQ51939607</v>
          </cell>
        </row>
        <row r="1135">
          <cell r="I1135" t="str">
            <v>Wilson Community College</v>
          </cell>
          <cell r="O1135" t="str">
            <v>IQ6812232</v>
          </cell>
        </row>
        <row r="1136">
          <cell r="I1136" t="str">
            <v>Winston-Salem State University (Inc)</v>
          </cell>
          <cell r="O1136" t="str">
            <v>IQ6810114</v>
          </cell>
        </row>
        <row r="1137">
          <cell r="I1137" t="str">
            <v>Western Carolina University Inc</v>
          </cell>
          <cell r="J1137" t="str">
            <v>Western Carolina University Foundation</v>
          </cell>
          <cell r="O1137" t="str">
            <v>IQ4263232</v>
          </cell>
          <cell r="P1137" t="str">
            <v>IQ224422597</v>
          </cell>
        </row>
        <row r="1138">
          <cell r="I1138" t="str">
            <v>Bismarck State College</v>
          </cell>
          <cell r="O1138" t="str">
            <v>IQ6879297</v>
          </cell>
        </row>
        <row r="1139">
          <cell r="I1139" t="str">
            <v>Dickinson State University</v>
          </cell>
          <cell r="J1139" t="str">
            <v>Dickinson State University Foundation, Inc</v>
          </cell>
          <cell r="O1139" t="str">
            <v>IQ4546673</v>
          </cell>
          <cell r="P1139" t="str">
            <v>IQ240930467</v>
          </cell>
        </row>
        <row r="1141">
          <cell r="I1141" t="str">
            <v>Lake Region State College</v>
          </cell>
          <cell r="O1141" t="str">
            <v>IQ249142426</v>
          </cell>
        </row>
        <row r="1142">
          <cell r="I1142" t="str">
            <v>Cankdeska Cikana Community College</v>
          </cell>
          <cell r="O1142" t="str">
            <v>IQ100415182</v>
          </cell>
        </row>
        <row r="1143">
          <cell r="I1143" t="str">
            <v>Mayville State University North Dakota Student Center Revenue</v>
          </cell>
          <cell r="O1143" t="str">
            <v>IQ58009294</v>
          </cell>
        </row>
        <row r="1144">
          <cell r="I1144" t="str">
            <v>Minot State University</v>
          </cell>
          <cell r="O1144" t="str">
            <v>IQ4204888</v>
          </cell>
        </row>
        <row r="1145">
          <cell r="I1145" t="str">
            <v>University of North Dakota</v>
          </cell>
          <cell r="O1145" t="str">
            <v>IQ4155057</v>
          </cell>
        </row>
        <row r="1149">
          <cell r="I1149" t="str">
            <v>Williston State College</v>
          </cell>
          <cell r="J1149" t="str">
            <v>Williston State College Foundation</v>
          </cell>
          <cell r="O1149" t="str">
            <v>IQ58777886</v>
          </cell>
          <cell r="P1149" t="str">
            <v>IQ118638363</v>
          </cell>
        </row>
        <row r="1150">
          <cell r="I1150" t="str">
            <v>Sitting Bull College</v>
          </cell>
          <cell r="O1150" t="str">
            <v>IQ232514820</v>
          </cell>
        </row>
        <row r="1151">
          <cell r="I1151" t="str">
            <v>Valley City State University</v>
          </cell>
          <cell r="O1151" t="str">
            <v>IQ6206395</v>
          </cell>
        </row>
        <row r="1158">
          <cell r="I1158" t="str">
            <v>Abbey Belmont College</v>
          </cell>
          <cell r="O1158" t="str">
            <v>IQ6844054</v>
          </cell>
        </row>
        <row r="1164">
          <cell r="I1164" t="str">
            <v>Central State University</v>
          </cell>
          <cell r="O1164" t="str">
            <v>IQ4318090</v>
          </cell>
        </row>
        <row r="1170">
          <cell r="I1170" t="str">
            <v>Clark State Community College, Ohio</v>
          </cell>
          <cell r="O1170" t="str">
            <v>IQ4503302</v>
          </cell>
        </row>
        <row r="1171">
          <cell r="I1171" t="str">
            <v>Cleveland State University</v>
          </cell>
          <cell r="O1171" t="str">
            <v>IQ4247579</v>
          </cell>
        </row>
        <row r="1173">
          <cell r="I1173" t="str">
            <v>Columbus State Community College</v>
          </cell>
          <cell r="O1173" t="str">
            <v>IQ57989415</v>
          </cell>
        </row>
        <row r="1175">
          <cell r="I1175" t="str">
            <v>Edison State Community College District, Ohio</v>
          </cell>
          <cell r="O1175" t="str">
            <v>IQ57993434</v>
          </cell>
        </row>
        <row r="1177">
          <cell r="I1177" t="str">
            <v>Great Oaks Institute Of Technology &amp; Career Development</v>
          </cell>
          <cell r="O1177" t="str">
            <v>IQ4301501</v>
          </cell>
        </row>
        <row r="1180">
          <cell r="I1180" t="str">
            <v>Hocking College Foundation, Inc.</v>
          </cell>
          <cell r="O1180" t="str">
            <v>IQ256528205</v>
          </cell>
        </row>
        <row r="1181">
          <cell r="I1181" t="str">
            <v>Eastern Gateway Community College</v>
          </cell>
          <cell r="O1181" t="str">
            <v>IQ6933432</v>
          </cell>
        </row>
        <row r="1192">
          <cell r="I1192" t="str">
            <v>James A RHODES State College Ohio General Receipts</v>
          </cell>
          <cell r="O1192" t="str">
            <v>IQ58002531</v>
          </cell>
        </row>
        <row r="1193">
          <cell r="I1193" t="str">
            <v>Lorain County Community College Foundation</v>
          </cell>
          <cell r="O1193" t="str">
            <v>IQ246124985</v>
          </cell>
        </row>
        <row r="1199">
          <cell r="I1199" t="str">
            <v>Miami Valley Career Technology Center</v>
          </cell>
          <cell r="O1199" t="str">
            <v>IQ51791496</v>
          </cell>
        </row>
        <row r="1200">
          <cell r="I1200" t="str">
            <v>Zane State College</v>
          </cell>
          <cell r="O1200" t="str">
            <v>IQ6816879</v>
          </cell>
        </row>
        <row r="1201">
          <cell r="I1201" t="str">
            <v>North Central State College Foundation</v>
          </cell>
          <cell r="J1201" t="str">
            <v>North Central State College Foundation</v>
          </cell>
          <cell r="O1201" t="str">
            <v>IQ21821205</v>
          </cell>
          <cell r="P1201" t="str">
            <v>IQ4474568</v>
          </cell>
        </row>
        <row r="1202">
          <cell r="I1202" t="str">
            <v>Northwest State Community College</v>
          </cell>
          <cell r="O1202" t="str">
            <v>IQ30969049</v>
          </cell>
        </row>
        <row r="1204">
          <cell r="I1204" t="str">
            <v>Northeast Ohio Medical University</v>
          </cell>
          <cell r="O1204" t="str">
            <v>IQ6802527</v>
          </cell>
        </row>
        <row r="1217">
          <cell r="I1217" t="str">
            <v>Cuyahoga Valley Career Center Vocational School District</v>
          </cell>
          <cell r="O1217" t="str">
            <v>IQ49783906</v>
          </cell>
        </row>
        <row r="1218">
          <cell r="I1218" t="str">
            <v>Shawnee State University</v>
          </cell>
          <cell r="O1218" t="str">
            <v>IQ6681194</v>
          </cell>
        </row>
        <row r="1221">
          <cell r="I1221" t="str">
            <v>Southern State Community College</v>
          </cell>
          <cell r="O1221" t="str">
            <v>IQ4432703</v>
          </cell>
        </row>
        <row r="1222">
          <cell r="I1222" t="str">
            <v>Terra Community College</v>
          </cell>
          <cell r="O1222" t="str">
            <v>IQ6809936</v>
          </cell>
        </row>
        <row r="1223">
          <cell r="I1223" t="str">
            <v>The University of Toledo</v>
          </cell>
          <cell r="J1223" t="str">
            <v>The University of Toledo Foundation</v>
          </cell>
          <cell r="K1223" t="str">
            <v>University of Toledo Innovation Enterprises</v>
          </cell>
          <cell r="O1223" t="str">
            <v>IQ4203843</v>
          </cell>
          <cell r="P1223" t="str">
            <v>IQ58029503</v>
          </cell>
          <cell r="Q1223" t="str">
            <v>IQ226791266</v>
          </cell>
        </row>
        <row r="1227">
          <cell r="I1227" t="str">
            <v>Washington State Community College</v>
          </cell>
          <cell r="J1227" t="str">
            <v>Washington State Community College District 17</v>
          </cell>
          <cell r="O1227" t="str">
            <v>IQ38783036</v>
          </cell>
          <cell r="P1227" t="str">
            <v>IQ257187309</v>
          </cell>
        </row>
        <row r="1230">
          <cell r="I1230" t="str">
            <v>Youngstown State University</v>
          </cell>
          <cell r="J1230" t="str">
            <v>Youngstown State University Foundation</v>
          </cell>
          <cell r="K1230" t="str">
            <v>Youngstown State University's Williamson School of Business</v>
          </cell>
          <cell r="O1230" t="str">
            <v>IQ4256920</v>
          </cell>
          <cell r="P1230" t="str">
            <v>IQ142961299</v>
          </cell>
          <cell r="Q1230" t="str">
            <v>IQ7733524</v>
          </cell>
        </row>
        <row r="1232">
          <cell r="I1232" t="str">
            <v>Cameron University</v>
          </cell>
          <cell r="O1232" t="str">
            <v>IQ4525175</v>
          </cell>
        </row>
        <row r="1233">
          <cell r="I1233" t="str">
            <v>Carl Albert State College</v>
          </cell>
          <cell r="J1233" t="str">
            <v>Carl Albert State College Oklahoma Revenue</v>
          </cell>
          <cell r="O1233" t="str">
            <v>IQ4641509</v>
          </cell>
          <cell r="P1233" t="str">
            <v>IQ57986265</v>
          </cell>
        </row>
        <row r="1234">
          <cell r="I1234" t="str">
            <v>University of Central Oklahoma</v>
          </cell>
          <cell r="O1234" t="str">
            <v>IQ6188455</v>
          </cell>
        </row>
        <row r="1235">
          <cell r="I1235" t="str">
            <v>Connors State College</v>
          </cell>
          <cell r="O1235" t="str">
            <v>IQ81687173</v>
          </cell>
        </row>
        <row r="1236">
          <cell r="I1236" t="str">
            <v>East Central University</v>
          </cell>
          <cell r="O1236" t="str">
            <v>IQ54127001</v>
          </cell>
        </row>
        <row r="1238">
          <cell r="I1238" t="str">
            <v>Redlands Community College</v>
          </cell>
          <cell r="O1238" t="str">
            <v>IQ24226546</v>
          </cell>
        </row>
        <row r="1239">
          <cell r="I1239" t="str">
            <v>Langston University</v>
          </cell>
          <cell r="O1239" t="str">
            <v>IQ4470327</v>
          </cell>
        </row>
        <row r="1240">
          <cell r="I1240" t="str">
            <v>Murray State College</v>
          </cell>
          <cell r="O1240" t="str">
            <v>IQ257016308</v>
          </cell>
        </row>
        <row r="1241">
          <cell r="I1241" t="str">
            <v>Northeastern State University</v>
          </cell>
          <cell r="O1241" t="str">
            <v>IQ4392329</v>
          </cell>
        </row>
        <row r="1242">
          <cell r="I1242" t="str">
            <v>Northern Oklahoma College</v>
          </cell>
          <cell r="O1242" t="str">
            <v>IQ6857323</v>
          </cell>
        </row>
        <row r="1243">
          <cell r="I1243" t="str">
            <v>Northeastern Oklahoma Agricultural and Mechanical College</v>
          </cell>
          <cell r="O1243" t="str">
            <v>IQ38555283</v>
          </cell>
        </row>
        <row r="1244">
          <cell r="I1244" t="str">
            <v>Northwestern Oklahoma State University</v>
          </cell>
          <cell r="J1244" t="str">
            <v>Northwestern Oklahoma State University Foundation Inc.</v>
          </cell>
          <cell r="O1244" t="str">
            <v>IQ4640069</v>
          </cell>
          <cell r="P1244" t="str">
            <v>IQ144145183</v>
          </cell>
        </row>
        <row r="1246">
          <cell r="I1246" t="str">
            <v>University of Oklahoma Health Sciences Center</v>
          </cell>
          <cell r="O1246" t="str">
            <v>IQ6191738</v>
          </cell>
        </row>
        <row r="1247">
          <cell r="I1247" t="str">
            <v>Oklahoma Panhandle State University</v>
          </cell>
          <cell r="O1247" t="str">
            <v>IQ38304960</v>
          </cell>
        </row>
        <row r="1250">
          <cell r="I1250" t="str">
            <v>Oklahoma City Community College</v>
          </cell>
          <cell r="O1250" t="str">
            <v>IQ4516749</v>
          </cell>
        </row>
        <row r="1252">
          <cell r="I1252" t="str">
            <v>Oklahoma State University Institute of Technology - Okmulgee</v>
          </cell>
          <cell r="O1252" t="str">
            <v>IQ138824577</v>
          </cell>
        </row>
        <row r="1253">
          <cell r="I1253" t="str">
            <v>Rogers State University</v>
          </cell>
          <cell r="J1253" t="str">
            <v>Rogers State University Foundation, Inc.</v>
          </cell>
          <cell r="O1253" t="str">
            <v>IQ138673281</v>
          </cell>
          <cell r="P1253" t="str">
            <v>IQ4662557</v>
          </cell>
        </row>
        <row r="1254">
          <cell r="I1254" t="str">
            <v>Rose State College</v>
          </cell>
          <cell r="J1254" t="str">
            <v>Rose State College Technical Area Education District Oklahoma</v>
          </cell>
          <cell r="O1254" t="str">
            <v>IQ4564715</v>
          </cell>
          <cell r="P1254" t="str">
            <v>IQ58021548</v>
          </cell>
        </row>
        <row r="1255">
          <cell r="I1255" t="str">
            <v>University Of SCIENCE &amp; Arts Of Oklahoma</v>
          </cell>
          <cell r="J1255" t="str">
            <v>University Of Science And Arts Of Oklahoma Foundation, Inc</v>
          </cell>
          <cell r="O1255" t="str">
            <v>IQ58029470</v>
          </cell>
          <cell r="P1255" t="str">
            <v>IQ244455633</v>
          </cell>
        </row>
        <row r="1256">
          <cell r="I1256" t="str">
            <v>Seminole State College</v>
          </cell>
          <cell r="O1256" t="str">
            <v>IQ51810829</v>
          </cell>
        </row>
        <row r="1257">
          <cell r="I1257" t="str">
            <v>Southeastern Oklahoma State University</v>
          </cell>
          <cell r="O1257" t="str">
            <v>IQ4522620</v>
          </cell>
        </row>
        <row r="1258">
          <cell r="I1258" t="str">
            <v>Southwestern Oklahoma State University</v>
          </cell>
          <cell r="O1258" t="str">
            <v>IQ4518554</v>
          </cell>
        </row>
        <row r="1259">
          <cell r="I1259" t="str">
            <v>Tulsa Community College</v>
          </cell>
          <cell r="O1259" t="str">
            <v>IQ58028907</v>
          </cell>
        </row>
        <row r="1261">
          <cell r="I1261" t="str">
            <v>Western Oklahoma State College</v>
          </cell>
          <cell r="O1261" t="str">
            <v>IQ51892914</v>
          </cell>
        </row>
        <row r="1262">
          <cell r="I1262" t="str">
            <v>High Plains Technology Center, District No. 24</v>
          </cell>
          <cell r="O1262" t="str">
            <v>IQ182112457</v>
          </cell>
        </row>
        <row r="1263">
          <cell r="I1263" t="str">
            <v>Blue Mountain Community College</v>
          </cell>
          <cell r="O1263" t="str">
            <v>IQ4516772</v>
          </cell>
        </row>
        <row r="1264">
          <cell r="I1264" t="str">
            <v>Central Oregon Community College</v>
          </cell>
          <cell r="J1264" t="str">
            <v>Central Oregon Community College District</v>
          </cell>
          <cell r="O1264" t="str">
            <v>IQ4393412</v>
          </cell>
          <cell r="P1264" t="str">
            <v>IQ57986994</v>
          </cell>
        </row>
        <row r="1265">
          <cell r="I1265" t="str">
            <v>Chemeketa Community College District</v>
          </cell>
          <cell r="O1265" t="str">
            <v>IQ4279331</v>
          </cell>
        </row>
        <row r="1266">
          <cell r="I1266" t="str">
            <v>Clackamas Community College</v>
          </cell>
          <cell r="O1266" t="str">
            <v>IQ6493759</v>
          </cell>
        </row>
        <row r="1267">
          <cell r="I1267" t="str">
            <v>Clatsop Community College</v>
          </cell>
          <cell r="O1267" t="str">
            <v>IQ4595311</v>
          </cell>
        </row>
        <row r="1268">
          <cell r="I1268" t="str">
            <v>Eastern Oregon University Foundation</v>
          </cell>
          <cell r="O1268" t="str">
            <v>IQ4440452</v>
          </cell>
        </row>
        <row r="1269">
          <cell r="I1269" t="str">
            <v>Lane Community College</v>
          </cell>
          <cell r="O1269" t="str">
            <v>IQ4274011</v>
          </cell>
        </row>
        <row r="1270">
          <cell r="I1270" t="str">
            <v>Linn Benton Community College Foundation</v>
          </cell>
          <cell r="O1270" t="str">
            <v>IQ142836051</v>
          </cell>
        </row>
        <row r="1271">
          <cell r="I1271" t="str">
            <v>Mt. Hood Community College Foundation</v>
          </cell>
          <cell r="O1271" t="str">
            <v>IQ144110533</v>
          </cell>
        </row>
        <row r="1272">
          <cell r="I1272" t="str">
            <v>Oregon University System</v>
          </cell>
          <cell r="O1272" t="str">
            <v>IQ6153308</v>
          </cell>
        </row>
        <row r="1273">
          <cell r="I1273" t="str">
            <v>Oregon Health &amp; Science University</v>
          </cell>
          <cell r="O1273" t="str">
            <v>IQ4099696</v>
          </cell>
        </row>
        <row r="1274">
          <cell r="I1274" t="str">
            <v>Oregon Institute Of Technology</v>
          </cell>
          <cell r="O1274" t="str">
            <v>IQ4371995</v>
          </cell>
        </row>
        <row r="1275">
          <cell r="I1275" t="str">
            <v>Oregon State University</v>
          </cell>
          <cell r="O1275" t="str">
            <v>IQ4090370</v>
          </cell>
        </row>
        <row r="1276">
          <cell r="I1276" t="str">
            <v>University of Oregon</v>
          </cell>
          <cell r="J1276" t="str">
            <v>University Of Oregon Bookstore, Inc.</v>
          </cell>
          <cell r="K1276" t="str">
            <v>University of Oregon Foundation</v>
          </cell>
          <cell r="L1276" t="str">
            <v>University of Oregon School of Law</v>
          </cell>
          <cell r="M1276" t="str">
            <v>University of Oregon Foundation, Endowment Arm</v>
          </cell>
          <cell r="O1276" t="str">
            <v>IQ4099730</v>
          </cell>
          <cell r="P1276" t="str">
            <v>IQ4817374</v>
          </cell>
          <cell r="Q1276" t="str">
            <v>IQ224425308</v>
          </cell>
          <cell r="R1276" t="str">
            <v>IQ7707930</v>
          </cell>
          <cell r="S1276" t="str">
            <v>IQ3533776</v>
          </cell>
        </row>
        <row r="1277">
          <cell r="I1277" t="str">
            <v>Portland Community College</v>
          </cell>
          <cell r="J1277" t="str">
            <v>Portland Community College District</v>
          </cell>
          <cell r="O1277" t="str">
            <v>IQ4259748</v>
          </cell>
          <cell r="P1277" t="str">
            <v>IQ58019076</v>
          </cell>
        </row>
        <row r="1278">
          <cell r="I1278" t="str">
            <v>Portland State University</v>
          </cell>
          <cell r="J1278" t="str">
            <v>Portland State University Bookstore</v>
          </cell>
          <cell r="K1278" t="str">
            <v>Portland State University Ore Planned Service Agreement</v>
          </cell>
          <cell r="L1278" t="str">
            <v>Portland State University Foundation</v>
          </cell>
          <cell r="O1278" t="str">
            <v>IQ6182942</v>
          </cell>
          <cell r="P1278" t="str">
            <v>IQ212732503</v>
          </cell>
          <cell r="Q1278" t="str">
            <v>IQ58019094</v>
          </cell>
          <cell r="R1278" t="str">
            <v>IQ23872875</v>
          </cell>
        </row>
        <row r="1279">
          <cell r="I1279" t="str">
            <v>Rogue Community College District Ore</v>
          </cell>
          <cell r="J1279" t="str">
            <v>Rogue Community College Foundation</v>
          </cell>
          <cell r="O1279" t="str">
            <v>IQ58021446</v>
          </cell>
          <cell r="P1279" t="str">
            <v>IQ4399659</v>
          </cell>
        </row>
        <row r="1280">
          <cell r="I1280" t="str">
            <v>Southern Oregon University</v>
          </cell>
          <cell r="J1280" t="str">
            <v>Southern Oregon University Foundation</v>
          </cell>
          <cell r="O1280" t="str">
            <v>IQ4280038</v>
          </cell>
          <cell r="P1280" t="str">
            <v>IQ51844643</v>
          </cell>
        </row>
        <row r="1281">
          <cell r="I1281" t="str">
            <v>Southwestern Oregon Community College</v>
          </cell>
          <cell r="O1281" t="str">
            <v>IQ4438798</v>
          </cell>
        </row>
        <row r="1282">
          <cell r="I1282" t="str">
            <v>Treasure Valley Community College</v>
          </cell>
          <cell r="J1282" t="str">
            <v>Treasure VY Community Collection District Ore</v>
          </cell>
          <cell r="O1282" t="str">
            <v>IQ4534222</v>
          </cell>
          <cell r="P1282" t="str">
            <v>IQ58028567</v>
          </cell>
        </row>
        <row r="1283">
          <cell r="I1283" t="str">
            <v>Umpqua Community College</v>
          </cell>
          <cell r="O1283" t="str">
            <v>IQ6713659</v>
          </cell>
        </row>
        <row r="1284">
          <cell r="I1284" t="str">
            <v>Western Oregon University</v>
          </cell>
          <cell r="O1284" t="str">
            <v>IQ4291345</v>
          </cell>
        </row>
        <row r="1288">
          <cell r="I1288" t="str">
            <v>Bucks County Pennsylvania Community College Authority</v>
          </cell>
          <cell r="J1288" t="str">
            <v>Bucks County Community College</v>
          </cell>
          <cell r="O1288" t="str">
            <v>IQ57984911</v>
          </cell>
          <cell r="P1288" t="str">
            <v>IQ6758622</v>
          </cell>
        </row>
        <row r="1289">
          <cell r="I1289" t="str">
            <v>Butler County Community College</v>
          </cell>
          <cell r="O1289" t="str">
            <v>IQ4534248</v>
          </cell>
        </row>
        <row r="1290">
          <cell r="I1290" t="str">
            <v>California University of Pennsylvania</v>
          </cell>
          <cell r="O1290" t="str">
            <v>IQ6069091</v>
          </cell>
        </row>
        <row r="1291">
          <cell r="I1291" t="str">
            <v>Cheyney University Of Pennsylvania</v>
          </cell>
          <cell r="O1291" t="str">
            <v>IQ4422062</v>
          </cell>
        </row>
        <row r="1292">
          <cell r="I1292" t="str">
            <v>Clarion University Of Pennsylvania</v>
          </cell>
          <cell r="O1292" t="str">
            <v>IQ4272106</v>
          </cell>
        </row>
        <row r="1293">
          <cell r="I1293" t="str">
            <v>Delaware County Community College</v>
          </cell>
          <cell r="O1293" t="str">
            <v>IQ4331550</v>
          </cell>
        </row>
        <row r="1298">
          <cell r="I1298" t="str">
            <v>Kutztown University of Pennsylvania School Of Business</v>
          </cell>
          <cell r="O1298" t="str">
            <v>IQ116746341</v>
          </cell>
        </row>
        <row r="1299">
          <cell r="I1299" t="str">
            <v>Lehigh County Community College</v>
          </cell>
          <cell r="O1299" t="str">
            <v>IQ4806764</v>
          </cell>
        </row>
        <row r="1300">
          <cell r="I1300" t="str">
            <v>Lock Haven University Of Pennsylvania</v>
          </cell>
          <cell r="O1300" t="str">
            <v>IQ4322951</v>
          </cell>
        </row>
        <row r="1301">
          <cell r="I1301" t="str">
            <v>Luzerne County Community College</v>
          </cell>
          <cell r="O1301" t="str">
            <v>IQ6517501</v>
          </cell>
        </row>
        <row r="2017">
          <cell r="I2017" t="str">
            <v>Bank of America Corporation</v>
          </cell>
          <cell r="J2017" t="str">
            <v>Inter-American Development Bank</v>
          </cell>
          <cell r="O2017" t="str">
            <v>IQ19049</v>
          </cell>
          <cell r="P2017" t="str">
            <v>IQ3575859</v>
          </cell>
        </row>
        <row r="2025">
          <cell r="I2025" t="str">
            <v>BNP Paribas SA</v>
          </cell>
          <cell r="O2025" t="str">
            <v>IQ873976</v>
          </cell>
        </row>
      </sheetData>
      <sheetData sheetId="2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Companies"/>
      <sheetName val="People"/>
    </sheetNames>
    <sheetDataSet>
      <sheetData sheetId="0"/>
      <sheetData sheetId="1"/>
      <sheetData sheetId="2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panies"/>
      <sheetName val="People"/>
    </sheetNames>
    <sheetDataSet>
      <sheetData sheetId="0">
        <row r="31">
          <cell r="I31" t="str">
            <v>The Telx Group, Inc.</v>
          </cell>
          <cell r="O31" t="str">
            <v>IQ697225</v>
          </cell>
        </row>
      </sheetData>
      <sheetData sheetId="1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  <sheetName val="_CIQHiddenCacheSheet"/>
      <sheetName val="Start Page"/>
      <sheetName val="Page One"/>
      <sheetName val="Financial Overview"/>
      <sheetName val="Investment Thesis"/>
      <sheetName val="Comp Data"/>
      <sheetName val="Historical Financials"/>
      <sheetName val="Comp Valuation"/>
      <sheetName val="Consensus"/>
      <sheetName val="Revision"/>
      <sheetName val="VAVP"/>
      <sheetName val="Share Details"/>
      <sheetName val="Earnings Surprise"/>
      <sheetName val="DashBoard"/>
      <sheetName val="Financials"/>
      <sheetName val="CAMEL"/>
      <sheetName val="Segment"/>
      <sheetName val="Operating Data"/>
      <sheetName val="Tables and Charts"/>
      <sheetName val="Comp output"/>
      <sheetName val="Comp Analysis"/>
      <sheetName val="Group Charts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2">
          <cell r="S22" t="str">
            <v>Hold</v>
          </cell>
          <cell r="T22" t="str">
            <v>Hold</v>
          </cell>
          <cell r="U22" t="str">
            <v>Hold</v>
          </cell>
          <cell r="V22" t="str">
            <v>Hold</v>
          </cell>
          <cell r="W22" t="str">
            <v>Hold</v>
          </cell>
          <cell r="X22" t="str">
            <v>Hold</v>
          </cell>
          <cell r="Y22" t="str">
            <v>Hold</v>
          </cell>
          <cell r="Z22" t="str">
            <v>Hold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E22">
            <v>0</v>
          </cell>
        </row>
        <row r="23">
          <cell r="S23" t="str">
            <v>Hold</v>
          </cell>
          <cell r="T23" t="str">
            <v>Hold</v>
          </cell>
          <cell r="U23" t="str">
            <v>Hold</v>
          </cell>
          <cell r="V23" t="str">
            <v>Hold</v>
          </cell>
          <cell r="W23" t="str">
            <v>Hold</v>
          </cell>
          <cell r="X23" t="str">
            <v>Hold</v>
          </cell>
          <cell r="Y23" t="str">
            <v>Hold</v>
          </cell>
          <cell r="Z23" t="str">
            <v>Hold</v>
          </cell>
          <cell r="AA23" t="str">
            <v>Hold</v>
          </cell>
          <cell r="AB23" t="str">
            <v>Hold</v>
          </cell>
          <cell r="AC23" t="str">
            <v>Hold</v>
          </cell>
          <cell r="AD23" t="str">
            <v>Hold</v>
          </cell>
          <cell r="AE23" t="str">
            <v>Hold</v>
          </cell>
        </row>
        <row r="24">
          <cell r="S24">
            <v>0</v>
          </cell>
          <cell r="T24">
            <v>0</v>
          </cell>
          <cell r="U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Z24">
            <v>0</v>
          </cell>
          <cell r="AA24">
            <v>0</v>
          </cell>
          <cell r="AB24">
            <v>0</v>
          </cell>
          <cell r="AC24">
            <v>0</v>
          </cell>
          <cell r="AD24" t="str">
            <v>Buy</v>
          </cell>
          <cell r="AE24" t="str">
            <v>Buy</v>
          </cell>
        </row>
        <row r="25">
          <cell r="S25" t="str">
            <v>Outperform</v>
          </cell>
          <cell r="T25" t="str">
            <v>Outperform</v>
          </cell>
          <cell r="U25" t="str">
            <v>Outperform</v>
          </cell>
          <cell r="V25" t="str">
            <v>Outperform</v>
          </cell>
          <cell r="W25" t="str">
            <v>Outperform</v>
          </cell>
          <cell r="X25" t="str">
            <v>Outperform</v>
          </cell>
          <cell r="Y25" t="str">
            <v>Outperform</v>
          </cell>
          <cell r="Z25" t="str">
            <v>Outperform</v>
          </cell>
          <cell r="AA25" t="str">
            <v>Outperform</v>
          </cell>
          <cell r="AB25" t="str">
            <v>Outperform</v>
          </cell>
          <cell r="AC25" t="str">
            <v>Outperform</v>
          </cell>
          <cell r="AD25" t="str">
            <v>Outperform</v>
          </cell>
          <cell r="AE25" t="str">
            <v>Outperform</v>
          </cell>
        </row>
        <row r="26"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 t="str">
            <v>Outperform</v>
          </cell>
          <cell r="X26" t="str">
            <v>Outperform</v>
          </cell>
          <cell r="Y26" t="str">
            <v>Outperform</v>
          </cell>
          <cell r="Z26" t="str">
            <v>Outperform</v>
          </cell>
          <cell r="AA26" t="str">
            <v>Outperform</v>
          </cell>
          <cell r="AB26" t="str">
            <v>Outperform</v>
          </cell>
          <cell r="AC26" t="str">
            <v>Outperform</v>
          </cell>
          <cell r="AD26" t="str">
            <v>Outperform</v>
          </cell>
          <cell r="AE26" t="str">
            <v>Outperform</v>
          </cell>
        </row>
        <row r="27">
          <cell r="S27" t="str">
            <v>Hold</v>
          </cell>
          <cell r="T27" t="str">
            <v>Hold</v>
          </cell>
          <cell r="U27" t="str">
            <v>Hold</v>
          </cell>
          <cell r="V27" t="str">
            <v>Hold</v>
          </cell>
          <cell r="W27" t="str">
            <v>Hold</v>
          </cell>
          <cell r="X27" t="str">
            <v>Hold</v>
          </cell>
          <cell r="Y27" t="str">
            <v>Hold</v>
          </cell>
          <cell r="Z27" t="str">
            <v>Hold</v>
          </cell>
          <cell r="AA27" t="str">
            <v>Hold</v>
          </cell>
          <cell r="AB27" t="str">
            <v>Hold</v>
          </cell>
          <cell r="AC27" t="str">
            <v>Hold</v>
          </cell>
          <cell r="AD27" t="str">
            <v>Hold</v>
          </cell>
          <cell r="AE27" t="str">
            <v>Hold</v>
          </cell>
        </row>
        <row r="28">
          <cell r="S28" t="str">
            <v>Hold</v>
          </cell>
          <cell r="T28" t="str">
            <v>Hold</v>
          </cell>
          <cell r="U28" t="str">
            <v>Hold</v>
          </cell>
          <cell r="V28" t="str">
            <v>Hold</v>
          </cell>
          <cell r="W28" t="str">
            <v>Hold</v>
          </cell>
          <cell r="X28" t="str">
            <v>Hold</v>
          </cell>
          <cell r="Y28" t="str">
            <v>Hold</v>
          </cell>
          <cell r="Z28" t="str">
            <v>Hold</v>
          </cell>
          <cell r="AA28" t="str">
            <v>Hold</v>
          </cell>
          <cell r="AB28" t="str">
            <v>Hold</v>
          </cell>
          <cell r="AC28" t="str">
            <v>Hold</v>
          </cell>
          <cell r="AD28" t="str">
            <v>Hold</v>
          </cell>
          <cell r="AE28" t="str">
            <v>Hold</v>
          </cell>
        </row>
        <row r="29">
          <cell r="S29">
            <v>0</v>
          </cell>
          <cell r="T29">
            <v>0</v>
          </cell>
          <cell r="U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Z29" t="str">
            <v>Buy</v>
          </cell>
          <cell r="AA29" t="str">
            <v>Buy</v>
          </cell>
          <cell r="AB29" t="str">
            <v>Buy</v>
          </cell>
          <cell r="AC29" t="str">
            <v>Buy</v>
          </cell>
          <cell r="AD29" t="str">
            <v>Buy</v>
          </cell>
          <cell r="AE29" t="str">
            <v>Buy</v>
          </cell>
        </row>
        <row r="30">
          <cell r="S30" t="str">
            <v>Hold</v>
          </cell>
          <cell r="T30" t="str">
            <v>Hold</v>
          </cell>
          <cell r="U30" t="str">
            <v>Hold</v>
          </cell>
          <cell r="V30" t="str">
            <v>Hold</v>
          </cell>
          <cell r="W30" t="str">
            <v>Hold</v>
          </cell>
          <cell r="X30" t="str">
            <v>Hold</v>
          </cell>
          <cell r="Y30" t="str">
            <v>Hold</v>
          </cell>
          <cell r="Z30" t="str">
            <v>Hold</v>
          </cell>
          <cell r="AA30" t="str">
            <v>Hold</v>
          </cell>
          <cell r="AB30" t="str">
            <v>Hold</v>
          </cell>
          <cell r="AC30" t="str">
            <v>Hold</v>
          </cell>
          <cell r="AD30" t="str">
            <v>Hold</v>
          </cell>
          <cell r="AE30" t="str">
            <v>Hold</v>
          </cell>
        </row>
        <row r="31">
          <cell r="S31" t="str">
            <v>Hold</v>
          </cell>
          <cell r="T31" t="str">
            <v>Hold</v>
          </cell>
          <cell r="U31" t="str">
            <v>Hold</v>
          </cell>
          <cell r="V31" t="str">
            <v>Hold</v>
          </cell>
          <cell r="W31" t="str">
            <v>Hold</v>
          </cell>
          <cell r="X31" t="str">
            <v>Hold</v>
          </cell>
          <cell r="Y31" t="str">
            <v>Hold</v>
          </cell>
          <cell r="Z31" t="str">
            <v>Hold</v>
          </cell>
          <cell r="AA31" t="str">
            <v>Hold</v>
          </cell>
          <cell r="AB31" t="str">
            <v>Hold</v>
          </cell>
          <cell r="AC31" t="str">
            <v>Hold</v>
          </cell>
          <cell r="AD31" t="str">
            <v>Hold</v>
          </cell>
          <cell r="AE31" t="str">
            <v>Hold</v>
          </cell>
        </row>
        <row r="32">
          <cell r="S32" t="str">
            <v>Hold</v>
          </cell>
          <cell r="T32" t="str">
            <v>Hold</v>
          </cell>
          <cell r="U32" t="str">
            <v>Hold</v>
          </cell>
          <cell r="V32" t="str">
            <v>Hold</v>
          </cell>
          <cell r="W32" t="str">
            <v>Hold</v>
          </cell>
          <cell r="X32" t="str">
            <v>Hold</v>
          </cell>
          <cell r="Y32" t="str">
            <v>Hold</v>
          </cell>
          <cell r="Z32" t="str">
            <v>Hold</v>
          </cell>
          <cell r="AA32" t="str">
            <v>Hold</v>
          </cell>
          <cell r="AB32" t="str">
            <v>Hold</v>
          </cell>
          <cell r="AC32" t="str">
            <v>Hold</v>
          </cell>
          <cell r="AD32" t="str">
            <v>Hold</v>
          </cell>
          <cell r="AE32" t="str">
            <v>Hold</v>
          </cell>
        </row>
        <row r="33">
          <cell r="S33" t="str">
            <v>Buy</v>
          </cell>
          <cell r="T33" t="str">
            <v>Buy</v>
          </cell>
          <cell r="U33" t="str">
            <v>Buy</v>
          </cell>
          <cell r="V33" t="str">
            <v>Buy</v>
          </cell>
          <cell r="W33" t="str">
            <v>Buy</v>
          </cell>
          <cell r="X33" t="str">
            <v>Buy</v>
          </cell>
          <cell r="Y33" t="str">
            <v>Buy</v>
          </cell>
          <cell r="Z33" t="str">
            <v>Buy</v>
          </cell>
          <cell r="AA33" t="str">
            <v>Buy</v>
          </cell>
          <cell r="AB33" t="str">
            <v>Buy</v>
          </cell>
          <cell r="AC33" t="str">
            <v>Buy</v>
          </cell>
          <cell r="AD33" t="str">
            <v>Buy</v>
          </cell>
          <cell r="AE33" t="str">
            <v>Buy</v>
          </cell>
        </row>
        <row r="34">
          <cell r="S34">
            <v>0</v>
          </cell>
          <cell r="T34" t="str">
            <v>Sell</v>
          </cell>
          <cell r="U34" t="str">
            <v>Sell</v>
          </cell>
          <cell r="V34" t="str">
            <v>Sell</v>
          </cell>
          <cell r="W34" t="str">
            <v>Sell</v>
          </cell>
          <cell r="X34" t="str">
            <v>Sell</v>
          </cell>
          <cell r="Y34" t="str">
            <v>Sell</v>
          </cell>
          <cell r="Z34" t="str">
            <v>Sell</v>
          </cell>
          <cell r="AA34" t="str">
            <v>Sell</v>
          </cell>
          <cell r="AB34" t="str">
            <v>Sell</v>
          </cell>
          <cell r="AC34" t="str">
            <v>Sell</v>
          </cell>
          <cell r="AD34" t="str">
            <v>Sell</v>
          </cell>
          <cell r="AE34" t="str">
            <v>Sell</v>
          </cell>
        </row>
        <row r="35">
          <cell r="S35" t="str">
            <v>Hold</v>
          </cell>
          <cell r="T35" t="str">
            <v>Hold</v>
          </cell>
          <cell r="U35" t="str">
            <v>Hold</v>
          </cell>
          <cell r="V35" t="str">
            <v>Hold</v>
          </cell>
          <cell r="W35" t="str">
            <v>Hold</v>
          </cell>
          <cell r="X35" t="str">
            <v>Hold</v>
          </cell>
          <cell r="Y35" t="str">
            <v>Underperform</v>
          </cell>
          <cell r="Z35" t="str">
            <v>Underperform</v>
          </cell>
          <cell r="AA35" t="str">
            <v>Underperform</v>
          </cell>
          <cell r="AB35" t="str">
            <v>Underperform</v>
          </cell>
          <cell r="AC35" t="str">
            <v>Underperform</v>
          </cell>
          <cell r="AD35" t="str">
            <v>Hold</v>
          </cell>
          <cell r="AE35" t="str">
            <v>Hold</v>
          </cell>
        </row>
        <row r="36">
          <cell r="S36" t="str">
            <v>Buy</v>
          </cell>
          <cell r="T36" t="str">
            <v>Buy</v>
          </cell>
          <cell r="U36" t="str">
            <v>Buy</v>
          </cell>
          <cell r="V36" t="str">
            <v>Buy</v>
          </cell>
          <cell r="W36" t="str">
            <v>Hold</v>
          </cell>
          <cell r="X36" t="str">
            <v>Hold</v>
          </cell>
          <cell r="Y36" t="str">
            <v>Hold</v>
          </cell>
          <cell r="Z36" t="str">
            <v>Hold</v>
          </cell>
          <cell r="AA36" t="str">
            <v>Hold</v>
          </cell>
          <cell r="AB36" t="str">
            <v>Hold</v>
          </cell>
          <cell r="AC36" t="str">
            <v>Hold</v>
          </cell>
          <cell r="AD36" t="str">
            <v>Hold</v>
          </cell>
          <cell r="AE36" t="str">
            <v>Hold</v>
          </cell>
        </row>
        <row r="37">
          <cell r="S37" t="str">
            <v>Sell</v>
          </cell>
          <cell r="T37" t="str">
            <v>Sell</v>
          </cell>
          <cell r="U37" t="str">
            <v>Sell</v>
          </cell>
          <cell r="V37" t="str">
            <v>Sell</v>
          </cell>
          <cell r="W37" t="str">
            <v>Sell</v>
          </cell>
          <cell r="X37" t="str">
            <v>Sell</v>
          </cell>
          <cell r="Y37" t="str">
            <v>Sell</v>
          </cell>
          <cell r="Z37" t="str">
            <v>Sell</v>
          </cell>
          <cell r="AA37" t="str">
            <v>Sell</v>
          </cell>
          <cell r="AB37" t="str">
            <v>Sell</v>
          </cell>
          <cell r="AC37" t="str">
            <v>Sell</v>
          </cell>
          <cell r="AD37" t="str">
            <v>Sell</v>
          </cell>
          <cell r="AE37" t="str">
            <v>Sell</v>
          </cell>
        </row>
        <row r="38">
          <cell r="S38" t="str">
            <v>Hold</v>
          </cell>
          <cell r="T38" t="str">
            <v>Hold</v>
          </cell>
          <cell r="U38" t="str">
            <v>Hold</v>
          </cell>
          <cell r="V38" t="str">
            <v>Hold</v>
          </cell>
          <cell r="W38" t="str">
            <v>Hold</v>
          </cell>
          <cell r="X38" t="str">
            <v>Hold</v>
          </cell>
          <cell r="Y38" t="str">
            <v>Hold</v>
          </cell>
          <cell r="Z38" t="str">
            <v>Hold</v>
          </cell>
          <cell r="AA38" t="str">
            <v>Hold</v>
          </cell>
          <cell r="AB38" t="str">
            <v>Hold</v>
          </cell>
          <cell r="AC38" t="str">
            <v>Hold</v>
          </cell>
          <cell r="AD38" t="str">
            <v>Hold</v>
          </cell>
          <cell r="AE38" t="str">
            <v>Hold</v>
          </cell>
        </row>
        <row r="39">
          <cell r="S39" t="str">
            <v>Hold</v>
          </cell>
          <cell r="T39" t="str">
            <v>Hold</v>
          </cell>
          <cell r="U39" t="str">
            <v>Hold</v>
          </cell>
          <cell r="V39" t="str">
            <v>Hold</v>
          </cell>
          <cell r="W39" t="str">
            <v>Hold</v>
          </cell>
          <cell r="X39" t="str">
            <v>Hold</v>
          </cell>
          <cell r="Y39" t="str">
            <v>Hold</v>
          </cell>
          <cell r="Z39" t="str">
            <v>Hold</v>
          </cell>
          <cell r="AA39" t="str">
            <v>Hold</v>
          </cell>
          <cell r="AB39" t="str">
            <v>Hold</v>
          </cell>
          <cell r="AC39" t="str">
            <v>Hold</v>
          </cell>
          <cell r="AD39" t="str">
            <v>Hold</v>
          </cell>
          <cell r="AE39" t="str">
            <v>Hold</v>
          </cell>
        </row>
        <row r="40">
          <cell r="S40" t="str">
            <v>Buy</v>
          </cell>
          <cell r="T40" t="str">
            <v>Buy</v>
          </cell>
          <cell r="U40" t="str">
            <v>Buy</v>
          </cell>
          <cell r="V40" t="str">
            <v>Buy</v>
          </cell>
          <cell r="W40" t="str">
            <v>Outperform</v>
          </cell>
          <cell r="X40" t="str">
            <v>Outperform</v>
          </cell>
          <cell r="Y40" t="str">
            <v>Outperform</v>
          </cell>
          <cell r="Z40" t="str">
            <v>Outperform</v>
          </cell>
          <cell r="AA40" t="str">
            <v>Outperform</v>
          </cell>
          <cell r="AB40" t="str">
            <v>Outperform</v>
          </cell>
          <cell r="AC40" t="str">
            <v>Outperform</v>
          </cell>
          <cell r="AD40" t="str">
            <v>Outperform</v>
          </cell>
          <cell r="AE40" t="str">
            <v>Outperform</v>
          </cell>
        </row>
        <row r="41">
          <cell r="S41" t="str">
            <v>Hold</v>
          </cell>
          <cell r="T41" t="str">
            <v>Hold</v>
          </cell>
          <cell r="U41" t="str">
            <v>Hold</v>
          </cell>
          <cell r="V41" t="str">
            <v>Hold</v>
          </cell>
          <cell r="W41" t="str">
            <v>Hold</v>
          </cell>
          <cell r="X41" t="str">
            <v>Hold</v>
          </cell>
          <cell r="Y41" t="str">
            <v>Hold</v>
          </cell>
          <cell r="Z41" t="str">
            <v>Hold</v>
          </cell>
          <cell r="AA41" t="str">
            <v>Hold</v>
          </cell>
          <cell r="AB41" t="str">
            <v>Hold</v>
          </cell>
          <cell r="AC41" t="str">
            <v>Hold</v>
          </cell>
          <cell r="AD41" t="str">
            <v>Hold</v>
          </cell>
          <cell r="AE41" t="str">
            <v>Hold</v>
          </cell>
        </row>
        <row r="42">
          <cell r="S42" t="str">
            <v>Hold</v>
          </cell>
          <cell r="T42" t="str">
            <v>Hold</v>
          </cell>
          <cell r="U42" t="str">
            <v>Hold</v>
          </cell>
          <cell r="V42" t="str">
            <v>Hold</v>
          </cell>
          <cell r="W42" t="str">
            <v>Hold</v>
          </cell>
          <cell r="X42" t="str">
            <v>Hold</v>
          </cell>
          <cell r="Y42" t="str">
            <v>Hold</v>
          </cell>
          <cell r="Z42" t="str">
            <v>Hold</v>
          </cell>
          <cell r="AA42" t="str">
            <v>Hold</v>
          </cell>
          <cell r="AB42" t="str">
            <v>Hold</v>
          </cell>
          <cell r="AC42" t="str">
            <v>Hold</v>
          </cell>
          <cell r="AD42" t="str">
            <v>Hold</v>
          </cell>
          <cell r="AE42" t="str">
            <v>Hold</v>
          </cell>
        </row>
        <row r="43">
          <cell r="S43" t="str">
            <v>Hold</v>
          </cell>
          <cell r="T43" t="str">
            <v>Hold</v>
          </cell>
          <cell r="U43">
            <v>0</v>
          </cell>
          <cell r="V43">
            <v>0</v>
          </cell>
          <cell r="W43">
            <v>0</v>
          </cell>
          <cell r="X43">
            <v>0</v>
          </cell>
          <cell r="Y43">
            <v>0</v>
          </cell>
          <cell r="Z43" t="str">
            <v>Outperform</v>
          </cell>
          <cell r="AA43" t="str">
            <v>Outperform</v>
          </cell>
          <cell r="AB43" t="str">
            <v>Outperform</v>
          </cell>
          <cell r="AC43" t="str">
            <v>Outperform</v>
          </cell>
          <cell r="AD43" t="str">
            <v>Outperform</v>
          </cell>
          <cell r="AE43" t="str">
            <v>Outperform</v>
          </cell>
        </row>
        <row r="44">
          <cell r="S44">
            <v>0</v>
          </cell>
          <cell r="T44">
            <v>0</v>
          </cell>
          <cell r="U44">
            <v>0</v>
          </cell>
          <cell r="V44" t="str">
            <v>Buy</v>
          </cell>
          <cell r="W44" t="str">
            <v>Buy</v>
          </cell>
          <cell r="X44" t="str">
            <v>Buy</v>
          </cell>
          <cell r="Y44" t="str">
            <v>Buy</v>
          </cell>
          <cell r="Z44" t="str">
            <v>Buy</v>
          </cell>
          <cell r="AA44" t="str">
            <v>Buy</v>
          </cell>
          <cell r="AB44" t="str">
            <v>Buy</v>
          </cell>
          <cell r="AC44" t="str">
            <v>Buy</v>
          </cell>
          <cell r="AD44" t="str">
            <v>Buy</v>
          </cell>
          <cell r="AE44" t="str">
            <v>Buy</v>
          </cell>
        </row>
        <row r="45">
          <cell r="S45" t="str">
            <v>Outperform</v>
          </cell>
          <cell r="T45" t="str">
            <v>Outperform</v>
          </cell>
          <cell r="U45" t="str">
            <v>Outperform</v>
          </cell>
          <cell r="V45" t="str">
            <v>Outperform</v>
          </cell>
          <cell r="W45" t="str">
            <v>Outperform</v>
          </cell>
          <cell r="X45" t="str">
            <v>Outperform</v>
          </cell>
          <cell r="Y45" t="str">
            <v>Outperform</v>
          </cell>
          <cell r="Z45" t="str">
            <v>Outperform</v>
          </cell>
          <cell r="AA45" t="str">
            <v>Outperform</v>
          </cell>
          <cell r="AB45" t="str">
            <v>Outperform</v>
          </cell>
          <cell r="AC45" t="str">
            <v>Outperform</v>
          </cell>
          <cell r="AD45" t="str">
            <v>Outperform</v>
          </cell>
          <cell r="AE45" t="str">
            <v>Outperform</v>
          </cell>
        </row>
        <row r="46">
          <cell r="S46" t="str">
            <v>Hold</v>
          </cell>
          <cell r="T46" t="str">
            <v>Hold</v>
          </cell>
          <cell r="U46" t="str">
            <v>Hold</v>
          </cell>
          <cell r="V46" t="str">
            <v>Hold</v>
          </cell>
          <cell r="W46" t="str">
            <v>Hold</v>
          </cell>
          <cell r="X46" t="str">
            <v>Hold</v>
          </cell>
          <cell r="Y46" t="str">
            <v>Hold</v>
          </cell>
          <cell r="Z46" t="str">
            <v>Hold</v>
          </cell>
          <cell r="AA46" t="str">
            <v>Hold</v>
          </cell>
          <cell r="AB46" t="str">
            <v>Hold</v>
          </cell>
          <cell r="AC46" t="str">
            <v>Buy</v>
          </cell>
          <cell r="AD46" t="str">
            <v>Buy</v>
          </cell>
          <cell r="AE46" t="str">
            <v>Buy</v>
          </cell>
        </row>
        <row r="47">
          <cell r="S47" t="str">
            <v>Outperform</v>
          </cell>
          <cell r="T47" t="str">
            <v>Outperform</v>
          </cell>
          <cell r="U47" t="str">
            <v>Outperform</v>
          </cell>
          <cell r="V47" t="str">
            <v>Outperform</v>
          </cell>
          <cell r="W47" t="str">
            <v>Outperform</v>
          </cell>
          <cell r="X47" t="str">
            <v>Outperform</v>
          </cell>
          <cell r="Y47" t="str">
            <v>Outperform</v>
          </cell>
          <cell r="Z47" t="str">
            <v>Outperform</v>
          </cell>
          <cell r="AA47" t="str">
            <v>Outperform</v>
          </cell>
          <cell r="AB47" t="str">
            <v>Outperform</v>
          </cell>
          <cell r="AC47" t="str">
            <v>Outperform</v>
          </cell>
          <cell r="AD47" t="str">
            <v>Outperform</v>
          </cell>
          <cell r="AE47" t="str">
            <v>Outperform</v>
          </cell>
        </row>
        <row r="48">
          <cell r="S48" t="str">
            <v>Buy</v>
          </cell>
          <cell r="T48" t="str">
            <v>Buy</v>
          </cell>
          <cell r="U48" t="str">
            <v>Buy</v>
          </cell>
          <cell r="V48" t="str">
            <v>Buy</v>
          </cell>
          <cell r="W48" t="str">
            <v>Buy</v>
          </cell>
          <cell r="X48" t="str">
            <v>Buy</v>
          </cell>
          <cell r="Y48" t="str">
            <v>Buy</v>
          </cell>
          <cell r="Z48" t="str">
            <v>Buy</v>
          </cell>
          <cell r="AA48" t="str">
            <v>Buy</v>
          </cell>
          <cell r="AB48" t="str">
            <v>Buy</v>
          </cell>
          <cell r="AC48" t="str">
            <v>Buy</v>
          </cell>
          <cell r="AD48" t="str">
            <v>Buy</v>
          </cell>
          <cell r="AE48" t="str">
            <v>Buy</v>
          </cell>
        </row>
        <row r="49">
          <cell r="S49" t="str">
            <v>Hold</v>
          </cell>
          <cell r="T49" t="str">
            <v>Hold</v>
          </cell>
          <cell r="U49" t="str">
            <v>Hold</v>
          </cell>
          <cell r="V49" t="str">
            <v>Hold</v>
          </cell>
          <cell r="W49" t="str">
            <v>Hold</v>
          </cell>
          <cell r="X49" t="str">
            <v>Hold</v>
          </cell>
          <cell r="Y49" t="str">
            <v>Hold</v>
          </cell>
          <cell r="Z49" t="str">
            <v>Hold</v>
          </cell>
          <cell r="AA49" t="str">
            <v>Hold</v>
          </cell>
          <cell r="AB49" t="str">
            <v>Hold</v>
          </cell>
          <cell r="AC49" t="str">
            <v>Hold</v>
          </cell>
          <cell r="AD49" t="str">
            <v>Hold</v>
          </cell>
          <cell r="AE49" t="str">
            <v>Hold</v>
          </cell>
        </row>
        <row r="50">
          <cell r="S50" t="str">
            <v>Buy</v>
          </cell>
          <cell r="T50" t="str">
            <v>Buy</v>
          </cell>
          <cell r="U50" t="str">
            <v>Buy</v>
          </cell>
          <cell r="V50" t="str">
            <v>Buy</v>
          </cell>
          <cell r="W50" t="str">
            <v>Buy</v>
          </cell>
          <cell r="X50" t="str">
            <v>Buy</v>
          </cell>
          <cell r="Y50" t="str">
            <v>Buy</v>
          </cell>
          <cell r="Z50" t="str">
            <v>Buy</v>
          </cell>
          <cell r="AA50" t="str">
            <v>Buy</v>
          </cell>
          <cell r="AB50" t="str">
            <v>Buy</v>
          </cell>
          <cell r="AC50" t="str">
            <v>Buy</v>
          </cell>
          <cell r="AD50" t="str">
            <v>Buy</v>
          </cell>
          <cell r="AE50" t="str">
            <v>Buy</v>
          </cell>
        </row>
        <row r="51">
          <cell r="S51" t="str">
            <v>Hold</v>
          </cell>
          <cell r="T51" t="str">
            <v>Hold</v>
          </cell>
          <cell r="U51" t="str">
            <v>Hold</v>
          </cell>
          <cell r="V51" t="str">
            <v>Hold</v>
          </cell>
          <cell r="W51" t="str">
            <v>Hold</v>
          </cell>
          <cell r="X51" t="str">
            <v>Hold</v>
          </cell>
          <cell r="Y51" t="str">
            <v>Hold</v>
          </cell>
          <cell r="Z51" t="str">
            <v>Buy</v>
          </cell>
          <cell r="AA51" t="str">
            <v>Buy</v>
          </cell>
          <cell r="AB51" t="str">
            <v>Buy</v>
          </cell>
          <cell r="AC51" t="str">
            <v>Buy</v>
          </cell>
          <cell r="AD51" t="str">
            <v>Buy</v>
          </cell>
          <cell r="AE51" t="str">
            <v>Buy</v>
          </cell>
        </row>
        <row r="52">
          <cell r="S52" t="str">
            <v>Hold</v>
          </cell>
          <cell r="T52" t="str">
            <v>Hold</v>
          </cell>
          <cell r="U52" t="str">
            <v>Hold</v>
          </cell>
          <cell r="V52" t="str">
            <v>Hold</v>
          </cell>
          <cell r="W52" t="str">
            <v>Hold</v>
          </cell>
          <cell r="X52" t="str">
            <v>Hold</v>
          </cell>
          <cell r="Y52" t="str">
            <v>Hold</v>
          </cell>
          <cell r="Z52" t="str">
            <v>Hold</v>
          </cell>
          <cell r="AA52" t="str">
            <v>Hold</v>
          </cell>
          <cell r="AB52" t="str">
            <v>Hold</v>
          </cell>
          <cell r="AC52" t="str">
            <v>Hold</v>
          </cell>
          <cell r="AD52" t="str">
            <v>Hold</v>
          </cell>
          <cell r="AE52" t="str">
            <v>Hold</v>
          </cell>
        </row>
        <row r="53">
          <cell r="S53" t="str">
            <v>Hold</v>
          </cell>
          <cell r="T53" t="str">
            <v>Hold</v>
          </cell>
          <cell r="U53" t="str">
            <v>Hold</v>
          </cell>
          <cell r="V53" t="str">
            <v>Hold</v>
          </cell>
          <cell r="W53" t="str">
            <v>Hold</v>
          </cell>
          <cell r="X53" t="str">
            <v>Hold</v>
          </cell>
          <cell r="Y53" t="str">
            <v>Hold</v>
          </cell>
          <cell r="Z53" t="str">
            <v>Hold</v>
          </cell>
          <cell r="AA53" t="str">
            <v>Hold</v>
          </cell>
          <cell r="AB53" t="str">
            <v>Hold</v>
          </cell>
          <cell r="AC53">
            <v>0</v>
          </cell>
          <cell r="AD53">
            <v>0</v>
          </cell>
          <cell r="AE53">
            <v>0</v>
          </cell>
        </row>
        <row r="54">
          <cell r="S54" t="str">
            <v>Buy</v>
          </cell>
          <cell r="T54" t="str">
            <v>Buy</v>
          </cell>
          <cell r="U54" t="str">
            <v>Buy</v>
          </cell>
          <cell r="V54" t="str">
            <v>Buy</v>
          </cell>
          <cell r="W54" t="str">
            <v>Buy</v>
          </cell>
          <cell r="X54" t="str">
            <v>Hold</v>
          </cell>
          <cell r="Y54" t="str">
            <v>Buy</v>
          </cell>
          <cell r="Z54" t="str">
            <v>Buy</v>
          </cell>
          <cell r="AA54" t="str">
            <v>Buy</v>
          </cell>
          <cell r="AB54" t="str">
            <v>Hold</v>
          </cell>
          <cell r="AC54">
            <v>0</v>
          </cell>
          <cell r="AD54">
            <v>0</v>
          </cell>
          <cell r="AE54">
            <v>0</v>
          </cell>
        </row>
        <row r="55">
          <cell r="S55" t="str">
            <v>Sell</v>
          </cell>
          <cell r="T55" t="str">
            <v>Sell</v>
          </cell>
          <cell r="U55" t="str">
            <v>Sell</v>
          </cell>
          <cell r="V55" t="str">
            <v>Sell</v>
          </cell>
          <cell r="W55" t="str">
            <v>Sell</v>
          </cell>
          <cell r="X55" t="str">
            <v>Buy</v>
          </cell>
          <cell r="Y55" t="str">
            <v>Sell</v>
          </cell>
          <cell r="Z55" t="str">
            <v>Sell</v>
          </cell>
          <cell r="AA55" t="str">
            <v>Sell</v>
          </cell>
          <cell r="AB55" t="str">
            <v>Sell</v>
          </cell>
          <cell r="AC55" t="str">
            <v>Sell</v>
          </cell>
          <cell r="AD55" t="str">
            <v>Sell</v>
          </cell>
          <cell r="AE55" t="str">
            <v>Sell</v>
          </cell>
        </row>
        <row r="56"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 t="str">
            <v>Sell</v>
          </cell>
          <cell r="Y56">
            <v>0</v>
          </cell>
          <cell r="Z56">
            <v>0</v>
          </cell>
          <cell r="AA56" t="str">
            <v>Sell</v>
          </cell>
          <cell r="AB56" t="str">
            <v>Sell</v>
          </cell>
          <cell r="AC56" t="str">
            <v>Sell</v>
          </cell>
          <cell r="AD56" t="str">
            <v>Sell</v>
          </cell>
          <cell r="AE56" t="str">
            <v>Sell</v>
          </cell>
        </row>
        <row r="57"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 t="str">
            <v>No Opinion</v>
          </cell>
          <cell r="X57">
            <v>0</v>
          </cell>
          <cell r="Y57" t="str">
            <v>No Opinion</v>
          </cell>
          <cell r="Z57" t="str">
            <v>No Opinion</v>
          </cell>
          <cell r="AA57" t="str">
            <v>No Opinion</v>
          </cell>
          <cell r="AB57" t="str">
            <v>No Opinion</v>
          </cell>
          <cell r="AC57" t="str">
            <v>No Opinion</v>
          </cell>
          <cell r="AD57" t="str">
            <v>No Opinion</v>
          </cell>
          <cell r="AE57" t="str">
            <v>No Opinion</v>
          </cell>
        </row>
        <row r="58">
          <cell r="S58" t="str">
            <v>Outperform</v>
          </cell>
          <cell r="T58" t="str">
            <v>Outperform</v>
          </cell>
          <cell r="U58" t="str">
            <v>Outperform</v>
          </cell>
          <cell r="V58" t="str">
            <v>Outperform</v>
          </cell>
          <cell r="W58" t="str">
            <v>Outperform</v>
          </cell>
          <cell r="X58" t="str">
            <v>No Opinion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</row>
        <row r="59">
          <cell r="S59">
            <v>0</v>
          </cell>
          <cell r="T59">
            <v>0</v>
          </cell>
          <cell r="U59">
            <v>0</v>
          </cell>
          <cell r="V59">
            <v>0</v>
          </cell>
          <cell r="W59" t="str">
            <v>Underperform</v>
          </cell>
          <cell r="X59">
            <v>0</v>
          </cell>
          <cell r="Y59" t="str">
            <v>Underperform</v>
          </cell>
          <cell r="Z59" t="str">
            <v>Underperform</v>
          </cell>
          <cell r="AA59" t="str">
            <v>Underperform</v>
          </cell>
          <cell r="AB59" t="str">
            <v>Underperform</v>
          </cell>
          <cell r="AC59">
            <v>0</v>
          </cell>
          <cell r="AD59">
            <v>0</v>
          </cell>
          <cell r="AE59">
            <v>0</v>
          </cell>
        </row>
        <row r="60">
          <cell r="S60" t="str">
            <v>Sell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 t="str">
            <v>Underperform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</row>
        <row r="61">
          <cell r="S61" t="str">
            <v>Hold</v>
          </cell>
          <cell r="T61" t="str">
            <v>Hold</v>
          </cell>
          <cell r="U61" t="str">
            <v>Hold</v>
          </cell>
          <cell r="V61" t="str">
            <v>Hold</v>
          </cell>
          <cell r="W61">
            <v>0</v>
          </cell>
          <cell r="X61">
            <v>0</v>
          </cell>
          <cell r="Y61">
            <v>0</v>
          </cell>
          <cell r="Z61">
            <v>0</v>
          </cell>
          <cell r="AA61">
            <v>0</v>
          </cell>
          <cell r="AB61">
            <v>0</v>
          </cell>
          <cell r="AC61">
            <v>0</v>
          </cell>
          <cell r="AD61">
            <v>0</v>
          </cell>
          <cell r="AE61">
            <v>0</v>
          </cell>
        </row>
        <row r="62">
          <cell r="S62">
            <v>0</v>
          </cell>
          <cell r="T62">
            <v>0</v>
          </cell>
          <cell r="U62">
            <v>0</v>
          </cell>
          <cell r="V62">
            <v>0</v>
          </cell>
          <cell r="W62">
            <v>0</v>
          </cell>
          <cell r="X62">
            <v>0</v>
          </cell>
          <cell r="Y62">
            <v>0</v>
          </cell>
          <cell r="Z62">
            <v>0</v>
          </cell>
          <cell r="AA62">
            <v>0</v>
          </cell>
          <cell r="AB62">
            <v>0</v>
          </cell>
          <cell r="AC62">
            <v>0</v>
          </cell>
          <cell r="AD62">
            <v>0</v>
          </cell>
          <cell r="AE62">
            <v>0</v>
          </cell>
        </row>
        <row r="63">
          <cell r="S63">
            <v>0</v>
          </cell>
          <cell r="T63">
            <v>0</v>
          </cell>
          <cell r="U63">
            <v>0</v>
          </cell>
          <cell r="V63">
            <v>0</v>
          </cell>
          <cell r="W63">
            <v>0</v>
          </cell>
          <cell r="X63">
            <v>0</v>
          </cell>
          <cell r="Y63">
            <v>0</v>
          </cell>
          <cell r="Z63">
            <v>0</v>
          </cell>
          <cell r="AA63">
            <v>0</v>
          </cell>
          <cell r="AB63">
            <v>0</v>
          </cell>
          <cell r="AC63">
            <v>0</v>
          </cell>
          <cell r="AD63">
            <v>0</v>
          </cell>
          <cell r="AE63">
            <v>0</v>
          </cell>
        </row>
        <row r="64">
          <cell r="S64">
            <v>0</v>
          </cell>
          <cell r="T64">
            <v>0</v>
          </cell>
          <cell r="U64">
            <v>0</v>
          </cell>
          <cell r="V64">
            <v>0</v>
          </cell>
          <cell r="W64">
            <v>0</v>
          </cell>
          <cell r="X64">
            <v>0</v>
          </cell>
          <cell r="Y64">
            <v>0</v>
          </cell>
          <cell r="Z64">
            <v>0</v>
          </cell>
          <cell r="AA64">
            <v>0</v>
          </cell>
          <cell r="AB64">
            <v>0</v>
          </cell>
          <cell r="AC64">
            <v>0</v>
          </cell>
          <cell r="AD64">
            <v>0</v>
          </cell>
          <cell r="AE64">
            <v>0</v>
          </cell>
        </row>
        <row r="65">
          <cell r="S65">
            <v>0</v>
          </cell>
          <cell r="T65">
            <v>0</v>
          </cell>
          <cell r="U65">
            <v>0</v>
          </cell>
          <cell r="V65">
            <v>0</v>
          </cell>
          <cell r="W65">
            <v>0</v>
          </cell>
          <cell r="X65">
            <v>0</v>
          </cell>
          <cell r="Y65">
            <v>0</v>
          </cell>
          <cell r="Z65">
            <v>0</v>
          </cell>
          <cell r="AA65">
            <v>0</v>
          </cell>
          <cell r="AB65">
            <v>0</v>
          </cell>
          <cell r="AC65">
            <v>0</v>
          </cell>
          <cell r="AD65">
            <v>0</v>
          </cell>
          <cell r="AE65">
            <v>0</v>
          </cell>
        </row>
        <row r="66">
          <cell r="S66">
            <v>0</v>
          </cell>
          <cell r="T66">
            <v>0</v>
          </cell>
          <cell r="U66">
            <v>0</v>
          </cell>
          <cell r="V66">
            <v>0</v>
          </cell>
          <cell r="W66">
            <v>0</v>
          </cell>
          <cell r="X66">
            <v>0</v>
          </cell>
          <cell r="Y66">
            <v>0</v>
          </cell>
          <cell r="Z66">
            <v>0</v>
          </cell>
          <cell r="AA66">
            <v>0</v>
          </cell>
          <cell r="AB66">
            <v>0</v>
          </cell>
          <cell r="AC66">
            <v>0</v>
          </cell>
          <cell r="AD66">
            <v>0</v>
          </cell>
          <cell r="AE66">
            <v>0</v>
          </cell>
        </row>
        <row r="67">
          <cell r="S67">
            <v>0</v>
          </cell>
          <cell r="T67">
            <v>0</v>
          </cell>
          <cell r="U67">
            <v>0</v>
          </cell>
          <cell r="V67">
            <v>0</v>
          </cell>
          <cell r="W67">
            <v>0</v>
          </cell>
          <cell r="X67">
            <v>0</v>
          </cell>
          <cell r="Y67">
            <v>0</v>
          </cell>
          <cell r="Z67">
            <v>0</v>
          </cell>
          <cell r="AA67">
            <v>0</v>
          </cell>
          <cell r="AB67">
            <v>0</v>
          </cell>
          <cell r="AC67">
            <v>0</v>
          </cell>
          <cell r="AD67">
            <v>0</v>
          </cell>
          <cell r="AE67">
            <v>0</v>
          </cell>
        </row>
        <row r="68">
          <cell r="S68">
            <v>0</v>
          </cell>
          <cell r="T68">
            <v>0</v>
          </cell>
          <cell r="U68">
            <v>0</v>
          </cell>
          <cell r="V68">
            <v>0</v>
          </cell>
          <cell r="W68">
            <v>0</v>
          </cell>
          <cell r="X68">
            <v>0</v>
          </cell>
          <cell r="Y68">
            <v>0</v>
          </cell>
          <cell r="Z68">
            <v>0</v>
          </cell>
          <cell r="AA68">
            <v>0</v>
          </cell>
          <cell r="AB68">
            <v>0</v>
          </cell>
          <cell r="AC68">
            <v>0</v>
          </cell>
          <cell r="AD68">
            <v>0</v>
          </cell>
          <cell r="AE68">
            <v>0</v>
          </cell>
        </row>
        <row r="69">
          <cell r="S69">
            <v>0</v>
          </cell>
          <cell r="T69">
            <v>0</v>
          </cell>
          <cell r="U69">
            <v>0</v>
          </cell>
          <cell r="V69">
            <v>0</v>
          </cell>
          <cell r="W69">
            <v>0</v>
          </cell>
          <cell r="X69">
            <v>0</v>
          </cell>
          <cell r="Y69">
            <v>0</v>
          </cell>
          <cell r="Z69">
            <v>0</v>
          </cell>
          <cell r="AA69">
            <v>0</v>
          </cell>
          <cell r="AB69">
            <v>0</v>
          </cell>
          <cell r="AC69">
            <v>0</v>
          </cell>
          <cell r="AD69">
            <v>0</v>
          </cell>
          <cell r="AE69">
            <v>0</v>
          </cell>
        </row>
        <row r="70">
          <cell r="S70">
            <v>0</v>
          </cell>
          <cell r="T70">
            <v>0</v>
          </cell>
          <cell r="U70">
            <v>0</v>
          </cell>
          <cell r="V70">
            <v>0</v>
          </cell>
          <cell r="W70">
            <v>0</v>
          </cell>
          <cell r="X70">
            <v>0</v>
          </cell>
          <cell r="Y70">
            <v>0</v>
          </cell>
          <cell r="Z70">
            <v>0</v>
          </cell>
          <cell r="AA70">
            <v>0</v>
          </cell>
          <cell r="AB70">
            <v>0</v>
          </cell>
          <cell r="AC70">
            <v>0</v>
          </cell>
          <cell r="AD70">
            <v>0</v>
          </cell>
          <cell r="AE70">
            <v>0</v>
          </cell>
        </row>
        <row r="71">
          <cell r="S71">
            <v>0</v>
          </cell>
          <cell r="T71">
            <v>0</v>
          </cell>
          <cell r="U71">
            <v>0</v>
          </cell>
          <cell r="V71">
            <v>0</v>
          </cell>
          <cell r="W71">
            <v>0</v>
          </cell>
          <cell r="X71">
            <v>0</v>
          </cell>
          <cell r="Y71">
            <v>0</v>
          </cell>
          <cell r="Z71">
            <v>0</v>
          </cell>
          <cell r="AA71">
            <v>0</v>
          </cell>
          <cell r="AB71">
            <v>0</v>
          </cell>
          <cell r="AC71">
            <v>0</v>
          </cell>
          <cell r="AD71">
            <v>0</v>
          </cell>
          <cell r="AE71">
            <v>0</v>
          </cell>
        </row>
        <row r="72">
          <cell r="S72">
            <v>0</v>
          </cell>
          <cell r="T72">
            <v>0</v>
          </cell>
          <cell r="U72">
            <v>0</v>
          </cell>
          <cell r="V72">
            <v>0</v>
          </cell>
          <cell r="W72">
            <v>0</v>
          </cell>
          <cell r="X72">
            <v>0</v>
          </cell>
          <cell r="Y72">
            <v>0</v>
          </cell>
          <cell r="Z72">
            <v>0</v>
          </cell>
          <cell r="AA72">
            <v>0</v>
          </cell>
          <cell r="AB72">
            <v>0</v>
          </cell>
          <cell r="AC72">
            <v>0</v>
          </cell>
          <cell r="AD72">
            <v>0</v>
          </cell>
          <cell r="AE72">
            <v>0</v>
          </cell>
        </row>
        <row r="73">
          <cell r="S73">
            <v>0</v>
          </cell>
          <cell r="T73">
            <v>0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</row>
        <row r="74">
          <cell r="S74">
            <v>0</v>
          </cell>
          <cell r="T74">
            <v>0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</row>
        <row r="75"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</row>
        <row r="76">
          <cell r="S76">
            <v>0</v>
          </cell>
          <cell r="T76">
            <v>0</v>
          </cell>
          <cell r="U76">
            <v>0</v>
          </cell>
          <cell r="V76">
            <v>0</v>
          </cell>
          <cell r="W76">
            <v>0</v>
          </cell>
          <cell r="X76">
            <v>0</v>
          </cell>
          <cell r="Y76">
            <v>0</v>
          </cell>
          <cell r="Z76">
            <v>0</v>
          </cell>
          <cell r="AA76">
            <v>0</v>
          </cell>
          <cell r="AB76">
            <v>0</v>
          </cell>
          <cell r="AC76">
            <v>0</v>
          </cell>
          <cell r="AD76">
            <v>0</v>
          </cell>
          <cell r="AE76">
            <v>0</v>
          </cell>
        </row>
        <row r="77">
          <cell r="S77">
            <v>0</v>
          </cell>
          <cell r="T77">
            <v>0</v>
          </cell>
          <cell r="U77">
            <v>0</v>
          </cell>
          <cell r="V77">
            <v>0</v>
          </cell>
          <cell r="W77">
            <v>0</v>
          </cell>
          <cell r="X77">
            <v>0</v>
          </cell>
          <cell r="Y77">
            <v>0</v>
          </cell>
          <cell r="Z77">
            <v>0</v>
          </cell>
          <cell r="AA77">
            <v>0</v>
          </cell>
          <cell r="AB77">
            <v>0</v>
          </cell>
          <cell r="AC77">
            <v>0</v>
          </cell>
          <cell r="AD77">
            <v>0</v>
          </cell>
          <cell r="AE77">
            <v>0</v>
          </cell>
        </row>
        <row r="78">
          <cell r="S78" t="str">
            <v>(Invalid Contributor)</v>
          </cell>
          <cell r="T78" t="str">
            <v>(Invalid Contributor)</v>
          </cell>
          <cell r="U78" t="str">
            <v>(Invalid Contributor)</v>
          </cell>
          <cell r="V78" t="str">
            <v>(Invalid Contributor)</v>
          </cell>
          <cell r="W78" t="str">
            <v>(Invalid Contributor)</v>
          </cell>
          <cell r="X78">
            <v>0</v>
          </cell>
          <cell r="Y78" t="str">
            <v>(Invalid Contributor)</v>
          </cell>
          <cell r="Z78" t="str">
            <v>(Invalid Contributor)</v>
          </cell>
          <cell r="AA78" t="str">
            <v>(Invalid Contributor)</v>
          </cell>
          <cell r="AB78">
            <v>0</v>
          </cell>
          <cell r="AC78">
            <v>0</v>
          </cell>
          <cell r="AD78">
            <v>0</v>
          </cell>
          <cell r="AE78">
            <v>0</v>
          </cell>
        </row>
        <row r="79"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 t="str">
            <v>(Invalid Contributor)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</row>
        <row r="80"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</row>
        <row r="81"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</row>
        <row r="82"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</row>
        <row r="83"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</row>
        <row r="84"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</row>
        <row r="85"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</row>
        <row r="86"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</row>
        <row r="87"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</row>
        <row r="88"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</row>
        <row r="89"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</row>
        <row r="90"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</row>
        <row r="91"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</row>
        <row r="92"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</row>
        <row r="93"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</row>
        <row r="94"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</row>
        <row r="95"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</row>
        <row r="96"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</row>
        <row r="97">
          <cell r="S97">
            <v>0</v>
          </cell>
          <cell r="T97">
            <v>0</v>
          </cell>
          <cell r="U97">
            <v>0</v>
          </cell>
          <cell r="V97">
            <v>0</v>
          </cell>
          <cell r="W97">
            <v>0</v>
          </cell>
          <cell r="X97">
            <v>0</v>
          </cell>
          <cell r="Y97">
            <v>0</v>
          </cell>
          <cell r="Z97">
            <v>0</v>
          </cell>
          <cell r="AA97">
            <v>0</v>
          </cell>
          <cell r="AB97">
            <v>0</v>
          </cell>
          <cell r="AC97">
            <v>0</v>
          </cell>
          <cell r="AD97">
            <v>0</v>
          </cell>
          <cell r="AE97">
            <v>0</v>
          </cell>
        </row>
        <row r="98"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</row>
        <row r="99">
          <cell r="S99">
            <v>0</v>
          </cell>
          <cell r="T99">
            <v>0</v>
          </cell>
          <cell r="U99">
            <v>0</v>
          </cell>
          <cell r="V99">
            <v>0</v>
          </cell>
          <cell r="W99">
            <v>0</v>
          </cell>
          <cell r="X99">
            <v>0</v>
          </cell>
          <cell r="Y99">
            <v>0</v>
          </cell>
          <cell r="Z99">
            <v>0</v>
          </cell>
          <cell r="AA99">
            <v>0</v>
          </cell>
          <cell r="AB99">
            <v>0</v>
          </cell>
          <cell r="AC99">
            <v>0</v>
          </cell>
          <cell r="AD99">
            <v>0</v>
          </cell>
          <cell r="AE99">
            <v>0</v>
          </cell>
        </row>
        <row r="100">
          <cell r="S100">
            <v>0</v>
          </cell>
          <cell r="T100">
            <v>0</v>
          </cell>
          <cell r="U100">
            <v>0</v>
          </cell>
          <cell r="V100">
            <v>0</v>
          </cell>
          <cell r="W100">
            <v>0</v>
          </cell>
          <cell r="X100">
            <v>0</v>
          </cell>
          <cell r="Y100">
            <v>0</v>
          </cell>
          <cell r="Z100">
            <v>0</v>
          </cell>
          <cell r="AA100">
            <v>0</v>
          </cell>
          <cell r="AB100">
            <v>0</v>
          </cell>
          <cell r="AC100">
            <v>0</v>
          </cell>
          <cell r="AD100">
            <v>0</v>
          </cell>
          <cell r="AE100">
            <v>0</v>
          </cell>
        </row>
        <row r="101">
          <cell r="S101">
            <v>0</v>
          </cell>
          <cell r="T101">
            <v>0</v>
          </cell>
          <cell r="U101">
            <v>0</v>
          </cell>
          <cell r="V101">
            <v>0</v>
          </cell>
          <cell r="W101">
            <v>0</v>
          </cell>
          <cell r="X101">
            <v>0</v>
          </cell>
          <cell r="Y101">
            <v>0</v>
          </cell>
          <cell r="Z101">
            <v>0</v>
          </cell>
          <cell r="AA101">
            <v>0</v>
          </cell>
          <cell r="AB101">
            <v>0</v>
          </cell>
          <cell r="AC101">
            <v>0</v>
          </cell>
          <cell r="AD101">
            <v>0</v>
          </cell>
          <cell r="AE101">
            <v>0</v>
          </cell>
        </row>
        <row r="102"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</row>
        <row r="103"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</row>
        <row r="104"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</row>
        <row r="105"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</row>
        <row r="106"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</row>
        <row r="107"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</row>
        <row r="108"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</row>
        <row r="109"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</row>
        <row r="110">
          <cell r="X110">
            <v>0</v>
          </cell>
        </row>
      </sheetData>
      <sheetData sheetId="10">
        <row r="10">
          <cell r="S10">
            <v>41425</v>
          </cell>
        </row>
        <row r="11">
          <cell r="S11">
            <v>41432</v>
          </cell>
        </row>
        <row r="12">
          <cell r="S12">
            <v>41439</v>
          </cell>
        </row>
        <row r="13">
          <cell r="S13">
            <v>41446</v>
          </cell>
        </row>
        <row r="14">
          <cell r="S14">
            <v>41453</v>
          </cell>
        </row>
        <row r="15">
          <cell r="S15">
            <v>41460</v>
          </cell>
        </row>
        <row r="16">
          <cell r="S16">
            <v>41467</v>
          </cell>
        </row>
        <row r="17">
          <cell r="S17">
            <v>41474</v>
          </cell>
        </row>
        <row r="18">
          <cell r="S18">
            <v>41481</v>
          </cell>
        </row>
        <row r="19">
          <cell r="S19">
            <v>41488</v>
          </cell>
        </row>
        <row r="20">
          <cell r="S20">
            <v>41495</v>
          </cell>
        </row>
        <row r="21">
          <cell r="S21">
            <v>41502</v>
          </cell>
        </row>
        <row r="22">
          <cell r="S22">
            <v>41509</v>
          </cell>
        </row>
        <row r="23">
          <cell r="S23">
            <v>41516</v>
          </cell>
        </row>
        <row r="24">
          <cell r="S24">
            <v>41523</v>
          </cell>
        </row>
        <row r="25">
          <cell r="S25">
            <v>41530</v>
          </cell>
        </row>
        <row r="26">
          <cell r="S26">
            <v>41537</v>
          </cell>
        </row>
        <row r="27">
          <cell r="S27">
            <v>41544</v>
          </cell>
        </row>
        <row r="28">
          <cell r="S28">
            <v>41551</v>
          </cell>
        </row>
        <row r="29">
          <cell r="S29">
            <v>41558</v>
          </cell>
        </row>
        <row r="30">
          <cell r="S30">
            <v>41565</v>
          </cell>
        </row>
        <row r="31">
          <cell r="S31">
            <v>41572</v>
          </cell>
        </row>
        <row r="32">
          <cell r="S32">
            <v>41579</v>
          </cell>
        </row>
        <row r="33">
          <cell r="S33">
            <v>41586</v>
          </cell>
        </row>
        <row r="34">
          <cell r="S34">
            <v>41593</v>
          </cell>
        </row>
        <row r="35">
          <cell r="S35">
            <v>41600</v>
          </cell>
        </row>
        <row r="36">
          <cell r="S36">
            <v>41607</v>
          </cell>
        </row>
        <row r="37">
          <cell r="S37">
            <v>41614</v>
          </cell>
        </row>
        <row r="38">
          <cell r="S38">
            <v>41621</v>
          </cell>
        </row>
        <row r="39">
          <cell r="S39">
            <v>41628</v>
          </cell>
        </row>
        <row r="40">
          <cell r="S40">
            <v>41635</v>
          </cell>
        </row>
        <row r="41">
          <cell r="S41">
            <v>41642</v>
          </cell>
        </row>
        <row r="42">
          <cell r="S42">
            <v>41649</v>
          </cell>
        </row>
        <row r="43">
          <cell r="S43">
            <v>41656</v>
          </cell>
        </row>
        <row r="44">
          <cell r="S44">
            <v>41663</v>
          </cell>
        </row>
        <row r="45">
          <cell r="S45">
            <v>41670</v>
          </cell>
        </row>
        <row r="46">
          <cell r="S46">
            <v>41677</v>
          </cell>
        </row>
        <row r="47">
          <cell r="S47">
            <v>41684</v>
          </cell>
        </row>
        <row r="48">
          <cell r="S48">
            <v>41691</v>
          </cell>
        </row>
        <row r="49">
          <cell r="S49">
            <v>41698</v>
          </cell>
        </row>
        <row r="50">
          <cell r="S50">
            <v>41705</v>
          </cell>
        </row>
        <row r="51">
          <cell r="S51">
            <v>41712</v>
          </cell>
        </row>
        <row r="52">
          <cell r="S52">
            <v>41719</v>
          </cell>
        </row>
        <row r="53">
          <cell r="S53">
            <v>41726</v>
          </cell>
        </row>
        <row r="54">
          <cell r="S54">
            <v>41733</v>
          </cell>
        </row>
        <row r="55">
          <cell r="S55">
            <v>41740</v>
          </cell>
        </row>
        <row r="56">
          <cell r="S56">
            <v>41746</v>
          </cell>
        </row>
        <row r="57">
          <cell r="S57">
            <v>41754</v>
          </cell>
        </row>
        <row r="58">
          <cell r="S58">
            <v>41761</v>
          </cell>
        </row>
        <row r="59">
          <cell r="S59">
            <v>41768</v>
          </cell>
        </row>
        <row r="60">
          <cell r="S60">
            <v>41775</v>
          </cell>
        </row>
        <row r="61">
          <cell r="S61">
            <v>41782</v>
          </cell>
        </row>
      </sheetData>
      <sheetData sheetId="11">
        <row r="9">
          <cell r="AW9">
            <v>39962</v>
          </cell>
          <cell r="BG9">
            <v>40690</v>
          </cell>
          <cell r="BQ9">
            <v>41425</v>
          </cell>
        </row>
        <row r="10">
          <cell r="BG10">
            <v>40697</v>
          </cell>
          <cell r="BQ10">
            <v>41432</v>
          </cell>
        </row>
        <row r="11">
          <cell r="BG11">
            <v>40704</v>
          </cell>
          <cell r="BQ11">
            <v>41439</v>
          </cell>
        </row>
        <row r="12">
          <cell r="BG12">
            <v>40711</v>
          </cell>
          <cell r="BQ12">
            <v>41446</v>
          </cell>
        </row>
        <row r="13">
          <cell r="BG13">
            <v>40718</v>
          </cell>
          <cell r="BQ13">
            <v>41453</v>
          </cell>
        </row>
        <row r="14">
          <cell r="BG14">
            <v>40725</v>
          </cell>
          <cell r="BQ14">
            <v>41460</v>
          </cell>
        </row>
        <row r="15">
          <cell r="BG15">
            <v>40732</v>
          </cell>
          <cell r="BQ15">
            <v>41467</v>
          </cell>
        </row>
        <row r="16">
          <cell r="BG16">
            <v>40739</v>
          </cell>
          <cell r="BQ16">
            <v>41474</v>
          </cell>
        </row>
        <row r="17">
          <cell r="BG17">
            <v>40746</v>
          </cell>
          <cell r="BQ17">
            <v>41481</v>
          </cell>
        </row>
        <row r="18">
          <cell r="BG18">
            <v>40753</v>
          </cell>
          <cell r="BQ18">
            <v>41488</v>
          </cell>
        </row>
        <row r="19">
          <cell r="BG19">
            <v>40760</v>
          </cell>
          <cell r="BQ19">
            <v>41495</v>
          </cell>
        </row>
        <row r="20">
          <cell r="BG20">
            <v>40767</v>
          </cell>
          <cell r="BQ20">
            <v>41502</v>
          </cell>
        </row>
        <row r="21">
          <cell r="BG21">
            <v>40774</v>
          </cell>
          <cell r="BQ21">
            <v>41509</v>
          </cell>
        </row>
        <row r="22">
          <cell r="BG22">
            <v>40781</v>
          </cell>
          <cell r="BQ22">
            <v>41516</v>
          </cell>
        </row>
        <row r="23">
          <cell r="BG23">
            <v>40788</v>
          </cell>
          <cell r="BQ23">
            <v>41523</v>
          </cell>
        </row>
        <row r="24">
          <cell r="BG24">
            <v>40795</v>
          </cell>
          <cell r="BQ24">
            <v>41530</v>
          </cell>
        </row>
        <row r="25">
          <cell r="BG25">
            <v>40802</v>
          </cell>
          <cell r="BQ25">
            <v>41537</v>
          </cell>
        </row>
        <row r="26">
          <cell r="BG26">
            <v>40809</v>
          </cell>
          <cell r="BQ26">
            <v>41544</v>
          </cell>
        </row>
        <row r="27">
          <cell r="BG27">
            <v>40816</v>
          </cell>
          <cell r="BQ27">
            <v>41551</v>
          </cell>
        </row>
        <row r="28">
          <cell r="BG28">
            <v>40823</v>
          </cell>
          <cell r="BQ28">
            <v>41558</v>
          </cell>
        </row>
        <row r="29">
          <cell r="BG29">
            <v>40830</v>
          </cell>
          <cell r="BQ29">
            <v>41565</v>
          </cell>
        </row>
        <row r="30">
          <cell r="BG30">
            <v>40837</v>
          </cell>
          <cell r="BQ30">
            <v>41572</v>
          </cell>
        </row>
        <row r="31">
          <cell r="BG31">
            <v>40844</v>
          </cell>
          <cell r="BQ31">
            <v>41579</v>
          </cell>
        </row>
        <row r="32">
          <cell r="BG32">
            <v>40851</v>
          </cell>
          <cell r="BQ32">
            <v>41586</v>
          </cell>
        </row>
        <row r="33">
          <cell r="BG33">
            <v>40858</v>
          </cell>
          <cell r="BQ33">
            <v>41593</v>
          </cell>
        </row>
        <row r="34">
          <cell r="BG34">
            <v>40865</v>
          </cell>
          <cell r="BQ34">
            <v>41600</v>
          </cell>
        </row>
        <row r="35">
          <cell r="BG35">
            <v>40872</v>
          </cell>
          <cell r="BQ35">
            <v>41607</v>
          </cell>
        </row>
        <row r="36">
          <cell r="BG36">
            <v>40879</v>
          </cell>
          <cell r="BQ36">
            <v>41614</v>
          </cell>
        </row>
        <row r="37">
          <cell r="BG37">
            <v>40886</v>
          </cell>
          <cell r="BQ37">
            <v>41621</v>
          </cell>
        </row>
        <row r="38">
          <cell r="BG38">
            <v>40893</v>
          </cell>
          <cell r="BQ38">
            <v>41628</v>
          </cell>
        </row>
        <row r="39">
          <cell r="BG39">
            <v>40900</v>
          </cell>
          <cell r="BQ39">
            <v>41635</v>
          </cell>
        </row>
        <row r="40">
          <cell r="BG40">
            <v>40907</v>
          </cell>
          <cell r="BQ40">
            <v>41642</v>
          </cell>
        </row>
        <row r="41">
          <cell r="BG41">
            <v>40914</v>
          </cell>
          <cell r="BQ41">
            <v>41649</v>
          </cell>
        </row>
        <row r="42">
          <cell r="BG42">
            <v>40921</v>
          </cell>
          <cell r="BQ42">
            <v>41656</v>
          </cell>
        </row>
        <row r="43">
          <cell r="BG43">
            <v>40928</v>
          </cell>
          <cell r="BQ43">
            <v>41663</v>
          </cell>
        </row>
        <row r="44">
          <cell r="BG44">
            <v>40935</v>
          </cell>
          <cell r="BQ44">
            <v>41670</v>
          </cell>
        </row>
        <row r="45">
          <cell r="BG45">
            <v>40942</v>
          </cell>
          <cell r="BQ45">
            <v>41677</v>
          </cell>
        </row>
        <row r="46">
          <cell r="BG46">
            <v>40949</v>
          </cell>
          <cell r="BQ46">
            <v>41684</v>
          </cell>
        </row>
        <row r="47">
          <cell r="BG47">
            <v>40956</v>
          </cell>
          <cell r="BQ47">
            <v>41691</v>
          </cell>
        </row>
        <row r="48">
          <cell r="BG48">
            <v>40963</v>
          </cell>
          <cell r="BQ48">
            <v>41698</v>
          </cell>
        </row>
        <row r="49">
          <cell r="BG49">
            <v>40970</v>
          </cell>
          <cell r="BQ49">
            <v>41705</v>
          </cell>
        </row>
        <row r="50">
          <cell r="BG50">
            <v>40977</v>
          </cell>
          <cell r="BQ50">
            <v>41712</v>
          </cell>
        </row>
        <row r="51">
          <cell r="BG51">
            <v>40984</v>
          </cell>
          <cell r="BQ51">
            <v>41719</v>
          </cell>
        </row>
        <row r="52">
          <cell r="BG52">
            <v>40991</v>
          </cell>
          <cell r="BQ52">
            <v>41726</v>
          </cell>
        </row>
        <row r="53">
          <cell r="BG53">
            <v>40998</v>
          </cell>
          <cell r="BQ53">
            <v>41733</v>
          </cell>
        </row>
        <row r="54">
          <cell r="BG54">
            <v>41004</v>
          </cell>
          <cell r="BQ54">
            <v>41740</v>
          </cell>
        </row>
        <row r="55">
          <cell r="BG55">
            <v>41012</v>
          </cell>
          <cell r="BQ55">
            <v>41746</v>
          </cell>
        </row>
        <row r="56">
          <cell r="BG56">
            <v>41019</v>
          </cell>
          <cell r="BQ56">
            <v>41754</v>
          </cell>
        </row>
        <row r="57">
          <cell r="BG57">
            <v>41026</v>
          </cell>
          <cell r="BQ57">
            <v>41761</v>
          </cell>
        </row>
        <row r="58">
          <cell r="BG58">
            <v>41033</v>
          </cell>
          <cell r="BQ58">
            <v>41768</v>
          </cell>
        </row>
        <row r="59">
          <cell r="BG59">
            <v>41040</v>
          </cell>
          <cell r="BQ59">
            <v>41775</v>
          </cell>
        </row>
        <row r="60">
          <cell r="BG60">
            <v>41047</v>
          </cell>
          <cell r="BQ60">
            <v>41782</v>
          </cell>
        </row>
        <row r="61">
          <cell r="BG61">
            <v>41054</v>
          </cell>
        </row>
        <row r="62">
          <cell r="BG62">
            <v>41061</v>
          </cell>
        </row>
        <row r="63">
          <cell r="BG63">
            <v>41068</v>
          </cell>
        </row>
        <row r="64">
          <cell r="BG64">
            <v>41075</v>
          </cell>
        </row>
        <row r="65">
          <cell r="BG65">
            <v>41082</v>
          </cell>
        </row>
        <row r="66">
          <cell r="BG66">
            <v>41089</v>
          </cell>
        </row>
        <row r="67">
          <cell r="BG67">
            <v>41096</v>
          </cell>
        </row>
        <row r="68">
          <cell r="BG68">
            <v>41103</v>
          </cell>
        </row>
        <row r="69">
          <cell r="BG69">
            <v>41110</v>
          </cell>
        </row>
        <row r="70">
          <cell r="BG70">
            <v>41117</v>
          </cell>
        </row>
        <row r="71">
          <cell r="BG71">
            <v>41124</v>
          </cell>
        </row>
        <row r="72">
          <cell r="BG72">
            <v>41131</v>
          </cell>
        </row>
        <row r="73">
          <cell r="BG73">
            <v>41138</v>
          </cell>
        </row>
        <row r="74">
          <cell r="BG74">
            <v>41145</v>
          </cell>
        </row>
        <row r="75">
          <cell r="BG75">
            <v>41152</v>
          </cell>
        </row>
        <row r="76">
          <cell r="BG76">
            <v>41159</v>
          </cell>
        </row>
        <row r="77">
          <cell r="BG77">
            <v>41166</v>
          </cell>
        </row>
        <row r="78">
          <cell r="BG78">
            <v>41173</v>
          </cell>
        </row>
        <row r="79">
          <cell r="BG79">
            <v>41180</v>
          </cell>
        </row>
        <row r="80">
          <cell r="BG80">
            <v>41187</v>
          </cell>
        </row>
        <row r="81">
          <cell r="BG81">
            <v>41194</v>
          </cell>
        </row>
        <row r="82">
          <cell r="BG82">
            <v>41201</v>
          </cell>
        </row>
        <row r="83">
          <cell r="BG83">
            <v>41208</v>
          </cell>
        </row>
        <row r="84">
          <cell r="BG84">
            <v>41215</v>
          </cell>
        </row>
        <row r="85">
          <cell r="BG85">
            <v>41222</v>
          </cell>
        </row>
        <row r="86">
          <cell r="BG86">
            <v>41229</v>
          </cell>
        </row>
        <row r="87">
          <cell r="BG87">
            <v>41236</v>
          </cell>
        </row>
        <row r="88">
          <cell r="BG88">
            <v>41243</v>
          </cell>
        </row>
        <row r="89">
          <cell r="BG89">
            <v>41250</v>
          </cell>
        </row>
        <row r="90">
          <cell r="BG90">
            <v>41257</v>
          </cell>
        </row>
        <row r="91">
          <cell r="BG91">
            <v>41264</v>
          </cell>
        </row>
        <row r="92">
          <cell r="BG92">
            <v>41271</v>
          </cell>
        </row>
        <row r="93">
          <cell r="BG93">
            <v>41278</v>
          </cell>
        </row>
        <row r="94">
          <cell r="BG94">
            <v>41285</v>
          </cell>
        </row>
        <row r="95">
          <cell r="BG95">
            <v>41292</v>
          </cell>
        </row>
        <row r="96">
          <cell r="BG96">
            <v>41299</v>
          </cell>
        </row>
        <row r="97">
          <cell r="BG97">
            <v>41306</v>
          </cell>
        </row>
        <row r="98">
          <cell r="BG98">
            <v>41313</v>
          </cell>
        </row>
        <row r="99">
          <cell r="BG99">
            <v>41320</v>
          </cell>
        </row>
        <row r="100">
          <cell r="BG100">
            <v>41327</v>
          </cell>
        </row>
        <row r="101">
          <cell r="BG101">
            <v>41334</v>
          </cell>
        </row>
        <row r="102">
          <cell r="BG102">
            <v>41341</v>
          </cell>
        </row>
        <row r="103">
          <cell r="BG103">
            <v>41348</v>
          </cell>
        </row>
        <row r="104">
          <cell r="BG104">
            <v>41355</v>
          </cell>
        </row>
        <row r="105">
          <cell r="BG105">
            <v>41361</v>
          </cell>
        </row>
        <row r="106">
          <cell r="BG106">
            <v>41369</v>
          </cell>
        </row>
        <row r="107">
          <cell r="BG107">
            <v>41376</v>
          </cell>
        </row>
        <row r="108">
          <cell r="BG108">
            <v>41383</v>
          </cell>
        </row>
        <row r="109">
          <cell r="BG109">
            <v>41390</v>
          </cell>
        </row>
        <row r="110">
          <cell r="BG110">
            <v>41397</v>
          </cell>
        </row>
        <row r="111">
          <cell r="BG111">
            <v>41404</v>
          </cell>
        </row>
        <row r="112">
          <cell r="BG112">
            <v>41411</v>
          </cell>
        </row>
        <row r="113">
          <cell r="BG113">
            <v>41418</v>
          </cell>
        </row>
        <row r="114">
          <cell r="BG114">
            <v>41425</v>
          </cell>
        </row>
        <row r="115">
          <cell r="BG115">
            <v>41432</v>
          </cell>
        </row>
        <row r="116">
          <cell r="BG116">
            <v>41439</v>
          </cell>
        </row>
        <row r="117">
          <cell r="BG117">
            <v>41446</v>
          </cell>
        </row>
        <row r="118">
          <cell r="BG118">
            <v>41453</v>
          </cell>
        </row>
        <row r="119">
          <cell r="BG119">
            <v>41460</v>
          </cell>
        </row>
        <row r="120">
          <cell r="BG120">
            <v>41467</v>
          </cell>
        </row>
        <row r="121">
          <cell r="BG121">
            <v>41474</v>
          </cell>
        </row>
        <row r="122">
          <cell r="BG122">
            <v>41481</v>
          </cell>
        </row>
        <row r="123">
          <cell r="BG123">
            <v>41488</v>
          </cell>
        </row>
        <row r="124">
          <cell r="BG124">
            <v>41495</v>
          </cell>
        </row>
        <row r="125">
          <cell r="BG125">
            <v>41502</v>
          </cell>
        </row>
        <row r="126">
          <cell r="BG126">
            <v>41509</v>
          </cell>
        </row>
        <row r="127">
          <cell r="BG127">
            <v>41516</v>
          </cell>
        </row>
        <row r="128">
          <cell r="BG128">
            <v>41523</v>
          </cell>
        </row>
        <row r="129">
          <cell r="BG129">
            <v>41530</v>
          </cell>
        </row>
        <row r="130">
          <cell r="BG130">
            <v>41537</v>
          </cell>
        </row>
        <row r="131">
          <cell r="BG131">
            <v>41544</v>
          </cell>
        </row>
        <row r="132">
          <cell r="BG132">
            <v>41551</v>
          </cell>
        </row>
        <row r="133">
          <cell r="BG133">
            <v>41558</v>
          </cell>
        </row>
        <row r="134">
          <cell r="BG134">
            <v>41565</v>
          </cell>
        </row>
        <row r="135">
          <cell r="BG135">
            <v>41572</v>
          </cell>
        </row>
        <row r="136">
          <cell r="BG136">
            <v>41579</v>
          </cell>
        </row>
        <row r="137">
          <cell r="BG137">
            <v>41586</v>
          </cell>
        </row>
        <row r="138">
          <cell r="BG138">
            <v>41593</v>
          </cell>
        </row>
        <row r="139">
          <cell r="BG139">
            <v>41600</v>
          </cell>
        </row>
        <row r="140">
          <cell r="BG140">
            <v>41607</v>
          </cell>
        </row>
        <row r="141">
          <cell r="BG141">
            <v>41614</v>
          </cell>
        </row>
        <row r="142">
          <cell r="BG142">
            <v>41621</v>
          </cell>
        </row>
        <row r="143">
          <cell r="BG143">
            <v>41628</v>
          </cell>
        </row>
        <row r="144">
          <cell r="BG144">
            <v>41635</v>
          </cell>
        </row>
        <row r="145">
          <cell r="BG145">
            <v>41642</v>
          </cell>
        </row>
        <row r="146">
          <cell r="BG146">
            <v>41649</v>
          </cell>
        </row>
        <row r="147">
          <cell r="BG147">
            <v>41656</v>
          </cell>
        </row>
        <row r="148">
          <cell r="BG148">
            <v>41663</v>
          </cell>
        </row>
        <row r="149">
          <cell r="BG149">
            <v>41670</v>
          </cell>
        </row>
        <row r="150">
          <cell r="BG150">
            <v>41677</v>
          </cell>
        </row>
        <row r="151">
          <cell r="BG151">
            <v>41684</v>
          </cell>
        </row>
        <row r="152">
          <cell r="BG152">
            <v>41691</v>
          </cell>
        </row>
        <row r="153">
          <cell r="BG153">
            <v>41698</v>
          </cell>
        </row>
        <row r="154">
          <cell r="BG154">
            <v>41705</v>
          </cell>
        </row>
        <row r="155">
          <cell r="BG155">
            <v>41712</v>
          </cell>
        </row>
        <row r="156">
          <cell r="BG156">
            <v>41719</v>
          </cell>
        </row>
        <row r="157">
          <cell r="BG157">
            <v>41726</v>
          </cell>
        </row>
        <row r="158">
          <cell r="BG158">
            <v>41733</v>
          </cell>
        </row>
        <row r="159">
          <cell r="BG159">
            <v>41740</v>
          </cell>
        </row>
        <row r="160">
          <cell r="BG160">
            <v>41746</v>
          </cell>
        </row>
        <row r="161">
          <cell r="BG161">
            <v>41754</v>
          </cell>
        </row>
        <row r="162">
          <cell r="BG162">
            <v>41761</v>
          </cell>
        </row>
        <row r="163">
          <cell r="BG163">
            <v>41768</v>
          </cell>
        </row>
        <row r="164">
          <cell r="BG164">
            <v>41775</v>
          </cell>
        </row>
        <row r="165">
          <cell r="BG165">
            <v>41782</v>
          </cell>
        </row>
      </sheetData>
      <sheetData sheetId="12">
        <row r="28">
          <cell r="K28">
            <v>542108378</v>
          </cell>
          <cell r="L28">
            <v>5.1552499999999997</v>
          </cell>
        </row>
        <row r="29">
          <cell r="K29">
            <v>507941029</v>
          </cell>
          <cell r="L29">
            <v>4.83033</v>
          </cell>
        </row>
        <row r="30">
          <cell r="K30">
            <v>450764964</v>
          </cell>
          <cell r="L30">
            <v>4.2866099999999996</v>
          </cell>
        </row>
        <row r="31">
          <cell r="K31">
            <v>306899224</v>
          </cell>
          <cell r="L31">
            <v>2.9184999999999999</v>
          </cell>
        </row>
        <row r="32">
          <cell r="K32">
            <v>136686754</v>
          </cell>
          <cell r="L32">
            <v>1.2998400000000001</v>
          </cell>
        </row>
        <row r="33">
          <cell r="K33">
            <v>133857993</v>
          </cell>
          <cell r="L33">
            <v>1.27294</v>
          </cell>
        </row>
        <row r="34">
          <cell r="K34">
            <v>133736383</v>
          </cell>
          <cell r="L34">
            <v>1.2717799999999999</v>
          </cell>
        </row>
        <row r="35">
          <cell r="K35">
            <v>124668488</v>
          </cell>
          <cell r="L35">
            <v>1.1855500000000001</v>
          </cell>
        </row>
        <row r="36">
          <cell r="K36">
            <v>112125160</v>
          </cell>
          <cell r="L36">
            <v>1.0662700000000001</v>
          </cell>
        </row>
        <row r="37">
          <cell r="K37">
            <v>108164546</v>
          </cell>
          <cell r="L37">
            <v>1.0286</v>
          </cell>
        </row>
      </sheetData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rt Page"/>
      <sheetName val="Page One"/>
      <sheetName val="Financial Overview"/>
      <sheetName val="Investment Thesis"/>
      <sheetName val="Comp Data"/>
      <sheetName val="Consensus"/>
      <sheetName val="Revision"/>
      <sheetName val="VAVP"/>
      <sheetName val="Comp output"/>
      <sheetName val="_CIQHiddenCacheSheet"/>
      <sheetName val="Comp Analysis"/>
      <sheetName val="Financials"/>
      <sheetName val="Share Details"/>
      <sheetName val="Earnings Surprise"/>
      <sheetName val="Financials CIQ"/>
      <sheetName val="Segment Data"/>
      <sheetName val="Segment Charts"/>
      <sheetName val="DashBoard"/>
      <sheetName val="Industry Data"/>
      <sheetName val="Group Charts"/>
    </sheetNames>
    <sheetDataSet>
      <sheetData sheetId="0"/>
      <sheetData sheetId="1"/>
      <sheetData sheetId="2"/>
      <sheetData sheetId="3"/>
      <sheetData sheetId="4"/>
      <sheetData sheetId="5"/>
      <sheetData sheetId="6">
        <row r="8">
          <cell r="S8">
            <v>40879</v>
          </cell>
        </row>
        <row r="9">
          <cell r="S9">
            <v>40886</v>
          </cell>
        </row>
        <row r="10">
          <cell r="S10">
            <v>40893</v>
          </cell>
        </row>
        <row r="11">
          <cell r="S11">
            <v>40900</v>
          </cell>
        </row>
        <row r="12">
          <cell r="S12">
            <v>40907</v>
          </cell>
        </row>
        <row r="13">
          <cell r="S13">
            <v>40914</v>
          </cell>
        </row>
        <row r="14">
          <cell r="S14">
            <v>40921</v>
          </cell>
        </row>
        <row r="15">
          <cell r="S15">
            <v>40928</v>
          </cell>
        </row>
        <row r="16">
          <cell r="S16">
            <v>40935</v>
          </cell>
        </row>
        <row r="17">
          <cell r="S17">
            <v>40942</v>
          </cell>
        </row>
        <row r="18">
          <cell r="S18">
            <v>40949</v>
          </cell>
        </row>
        <row r="19">
          <cell r="S19">
            <v>40956</v>
          </cell>
        </row>
        <row r="20">
          <cell r="S20">
            <v>40963</v>
          </cell>
        </row>
        <row r="21">
          <cell r="S21">
            <v>40970</v>
          </cell>
        </row>
        <row r="22">
          <cell r="S22">
            <v>40977</v>
          </cell>
        </row>
        <row r="23">
          <cell r="S23">
            <v>40984</v>
          </cell>
        </row>
        <row r="24">
          <cell r="S24">
            <v>40991</v>
          </cell>
        </row>
        <row r="25">
          <cell r="S25">
            <v>40998</v>
          </cell>
        </row>
        <row r="26">
          <cell r="S26">
            <v>41004</v>
          </cell>
        </row>
        <row r="27">
          <cell r="S27">
            <v>41012</v>
          </cell>
        </row>
        <row r="28">
          <cell r="S28">
            <v>41019</v>
          </cell>
        </row>
        <row r="29">
          <cell r="S29">
            <v>41026</v>
          </cell>
        </row>
        <row r="30">
          <cell r="S30">
            <v>41033</v>
          </cell>
        </row>
        <row r="31">
          <cell r="S31">
            <v>41040</v>
          </cell>
        </row>
        <row r="32">
          <cell r="S32">
            <v>41047</v>
          </cell>
        </row>
        <row r="33">
          <cell r="S33">
            <v>41054</v>
          </cell>
        </row>
        <row r="34">
          <cell r="S34">
            <v>41061</v>
          </cell>
        </row>
        <row r="35">
          <cell r="S35">
            <v>41068</v>
          </cell>
        </row>
        <row r="36">
          <cell r="S36">
            <v>41075</v>
          </cell>
        </row>
        <row r="37">
          <cell r="S37">
            <v>41082</v>
          </cell>
        </row>
        <row r="38">
          <cell r="S38">
            <v>41089</v>
          </cell>
        </row>
        <row r="39">
          <cell r="S39">
            <v>41096</v>
          </cell>
        </row>
        <row r="40">
          <cell r="S40">
            <v>41103</v>
          </cell>
        </row>
        <row r="41">
          <cell r="S41">
            <v>41110</v>
          </cell>
        </row>
        <row r="42">
          <cell r="S42">
            <v>41117</v>
          </cell>
        </row>
        <row r="43">
          <cell r="S43">
            <v>41124</v>
          </cell>
        </row>
        <row r="44">
          <cell r="S44">
            <v>41131</v>
          </cell>
        </row>
        <row r="45">
          <cell r="S45">
            <v>41138</v>
          </cell>
        </row>
        <row r="46">
          <cell r="S46">
            <v>41145</v>
          </cell>
        </row>
        <row r="47">
          <cell r="S47">
            <v>41152</v>
          </cell>
        </row>
        <row r="48">
          <cell r="S48">
            <v>41159</v>
          </cell>
        </row>
        <row r="49">
          <cell r="S49">
            <v>41166</v>
          </cell>
        </row>
        <row r="50">
          <cell r="S50">
            <v>41173</v>
          </cell>
        </row>
        <row r="51">
          <cell r="S51">
            <v>41180</v>
          </cell>
        </row>
        <row r="52">
          <cell r="S52">
            <v>41187</v>
          </cell>
        </row>
        <row r="53">
          <cell r="S53">
            <v>41194</v>
          </cell>
        </row>
        <row r="54">
          <cell r="S54">
            <v>41201</v>
          </cell>
        </row>
        <row r="55">
          <cell r="S55">
            <v>41208</v>
          </cell>
        </row>
        <row r="56">
          <cell r="S56">
            <v>41215</v>
          </cell>
        </row>
        <row r="57">
          <cell r="S57">
            <v>41222</v>
          </cell>
        </row>
        <row r="58">
          <cell r="S58">
            <v>41229</v>
          </cell>
        </row>
        <row r="59">
          <cell r="S59">
            <v>41236</v>
          </cell>
        </row>
      </sheetData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Q_ChartParameters"/>
      <sheetName val="_CIQHiddenCacheSheet"/>
      <sheetName val="Start Page"/>
      <sheetName val="Page One"/>
      <sheetName val="Financial Overview"/>
      <sheetName val="Comp Data"/>
      <sheetName val="Investment Thesis"/>
      <sheetName val="Snapshot Worksheet"/>
      <sheetName val="DashBoard"/>
      <sheetName val="Group Level Data &amp; Ratios"/>
      <sheetName val="Segment Data"/>
      <sheetName val="New Segment data"/>
      <sheetName val="Charts - Segment"/>
      <sheetName val="Segment growth structure"/>
      <sheetName val="New Segment growth structure"/>
      <sheetName val="Valuation &amp; Multiples"/>
      <sheetName val="Share Details"/>
      <sheetName val="Earnings Surprise &amp; Guidance"/>
      <sheetName val="Public Comps (1) - Pure Play"/>
      <sheetName val="Relative Valuation"/>
      <sheetName val="Charts - Group Level"/>
      <sheetName val="Brief Financial Snapshot"/>
      <sheetName val="Selected Charts - Group Level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12">
          <cell r="FO12" t="str">
            <v>(User access restricted)</v>
          </cell>
          <cell r="FR12" t="str">
            <v>(User access restricted)</v>
          </cell>
          <cell r="GB12">
            <v>0</v>
          </cell>
          <cell r="GE12">
            <v>0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_CIQHiddenCacheSheet"/>
      <sheetName val="Comprehensive"/>
      <sheetName val="Summary"/>
      <sheetName val="Estimates"/>
    </sheetNames>
    <sheetDataSet>
      <sheetData sheetId="0" refreshError="1"/>
      <sheetData sheetId="1" refreshError="1"/>
      <sheetData sheetId="2" refreshError="1"/>
      <sheetData sheetId="3">
        <row r="8">
          <cell r="D8" t="str">
            <v>NYSE:DD</v>
          </cell>
        </row>
      </sheetData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Data"/>
      <sheetName val="Export (F)"/>
      <sheetName val="Export (N)"/>
      <sheetName val="Export (S)"/>
      <sheetName val="Version Control"/>
      <sheetName val="_CIQHiddenCacheSheet"/>
      <sheetName val="Input"/>
      <sheetName val="Overview"/>
      <sheetName val="Overview (Hidden)"/>
      <sheetName val="Professionals"/>
      <sheetName val="Key Financials_H"/>
      <sheetName val="Key Financials"/>
      <sheetName val="Financial Analysis_H"/>
      <sheetName val="Financial Analysis"/>
      <sheetName val="Capital Structure"/>
      <sheetName val="Capital Structure_H"/>
      <sheetName val="Bond Prices"/>
      <sheetName val="Market Data"/>
      <sheetName val="Peer Analysis"/>
      <sheetName val="Peer Analysis_H"/>
      <sheetName val="Private Ownership"/>
      <sheetName val="Advisors"/>
      <sheetName val="M&amp;A Transactions"/>
      <sheetName val="Key Developments"/>
      <sheetName val="Financial Data_H"/>
      <sheetName val="Financial Data"/>
      <sheetName val="Peer Data_H"/>
      <sheetName val="Peer Data"/>
      <sheetName val="Price Data"/>
      <sheetName val="Glossary"/>
      <sheetName val="CIQ Segments"/>
      <sheetName val="CIQ Advisors"/>
      <sheetName val="CIQ Professionals"/>
      <sheetName val="CIQ Ownership"/>
      <sheetName val="CIQ Revision"/>
      <sheetName val="CIQ M&amp;A Transactions"/>
      <sheetName val="CIQ Key Development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>
        <row r="11">
          <cell r="B11" t="str">
            <v>Diagnostics and Genomics Group</v>
          </cell>
          <cell r="C11">
            <v>663</v>
          </cell>
          <cell r="D11">
            <v>662</v>
          </cell>
          <cell r="E11">
            <v>790</v>
          </cell>
          <cell r="F11">
            <v>860</v>
          </cell>
          <cell r="G11">
            <v>943</v>
          </cell>
          <cell r="H11">
            <v>1021</v>
          </cell>
          <cell r="I11">
            <v>1047</v>
          </cell>
        </row>
        <row r="12">
          <cell r="B12" t="str">
            <v>Agilent Crosslab Group</v>
          </cell>
          <cell r="C12">
            <v>1307</v>
          </cell>
          <cell r="D12">
            <v>1330</v>
          </cell>
          <cell r="E12">
            <v>1420</v>
          </cell>
          <cell r="F12">
            <v>1531</v>
          </cell>
          <cell r="G12">
            <v>1701</v>
          </cell>
          <cell r="H12">
            <v>1840</v>
          </cell>
          <cell r="I12">
            <v>1900</v>
          </cell>
        </row>
        <row r="13">
          <cell r="B13" t="str">
            <v>Life Sciences and Applied Markets Group</v>
          </cell>
          <cell r="C13">
            <v>2078</v>
          </cell>
          <cell r="D13">
            <v>2046</v>
          </cell>
          <cell r="E13">
            <v>1992</v>
          </cell>
          <cell r="F13">
            <v>2081</v>
          </cell>
          <cell r="G13">
            <v>2270</v>
          </cell>
          <cell r="H13">
            <v>2302</v>
          </cell>
          <cell r="I13">
            <v>2392</v>
          </cell>
        </row>
        <row r="14">
          <cell r="B14" t="str">
            <v>Unallocated Cash and Cash Equivalents</v>
          </cell>
          <cell r="C14" t="str">
            <v>NA</v>
          </cell>
          <cell r="D14" t="str">
            <v>NA</v>
          </cell>
          <cell r="E14" t="str">
            <v>NA</v>
          </cell>
          <cell r="F14" t="str">
            <v>NA</v>
          </cell>
          <cell r="G14" t="str">
            <v>NA</v>
          </cell>
          <cell r="H14" t="str">
            <v>NA</v>
          </cell>
          <cell r="I14" t="str">
            <v>NA</v>
          </cell>
        </row>
        <row r="15">
          <cell r="B15" t="str">
            <v>Unallocated Prepaid Expenses</v>
          </cell>
          <cell r="C15" t="str">
            <v>NA</v>
          </cell>
          <cell r="D15" t="str">
            <v>NA</v>
          </cell>
          <cell r="E15" t="str">
            <v>NA</v>
          </cell>
          <cell r="F15" t="str">
            <v>NA</v>
          </cell>
          <cell r="G15" t="str">
            <v>NA</v>
          </cell>
          <cell r="H15" t="str">
            <v>NA</v>
          </cell>
          <cell r="I15" t="str">
            <v>NA</v>
          </cell>
        </row>
        <row r="16">
          <cell r="B16" t="str">
            <v>Unallocated Investments</v>
          </cell>
          <cell r="C16" t="str">
            <v>NA</v>
          </cell>
          <cell r="D16" t="str">
            <v>NA</v>
          </cell>
          <cell r="E16" t="str">
            <v>NA</v>
          </cell>
          <cell r="F16" t="str">
            <v>NA</v>
          </cell>
          <cell r="G16" t="str">
            <v>NA</v>
          </cell>
          <cell r="H16" t="str">
            <v>NA</v>
          </cell>
          <cell r="I16" t="str">
            <v>NA</v>
          </cell>
        </row>
        <row r="17">
          <cell r="B17" t="str">
            <v>Unallocated Long-Term and Other Receivables</v>
          </cell>
          <cell r="C17" t="str">
            <v>NA</v>
          </cell>
          <cell r="D17" t="str">
            <v>NA</v>
          </cell>
          <cell r="E17" t="str">
            <v>NA</v>
          </cell>
          <cell r="F17" t="str">
            <v>NA</v>
          </cell>
          <cell r="G17" t="str">
            <v>NA</v>
          </cell>
          <cell r="H17" t="str">
            <v>NA</v>
          </cell>
          <cell r="I17" t="str">
            <v>NA</v>
          </cell>
        </row>
        <row r="18">
          <cell r="B18" t="str">
            <v>Unallocated Deferred Tax Assets</v>
          </cell>
          <cell r="C18" t="str">
            <v>NA</v>
          </cell>
          <cell r="D18" t="str">
            <v>NA</v>
          </cell>
          <cell r="E18" t="str">
            <v>NA</v>
          </cell>
          <cell r="F18" t="str">
            <v>NA</v>
          </cell>
          <cell r="G18" t="str">
            <v>NA</v>
          </cell>
          <cell r="H18" t="str">
            <v>NA</v>
          </cell>
          <cell r="I18" t="str">
            <v>NA</v>
          </cell>
        </row>
        <row r="19">
          <cell r="B19" t="str">
            <v>Unallocated Right of Use Assets</v>
          </cell>
          <cell r="C19" t="str">
            <v>NA</v>
          </cell>
          <cell r="D19" t="str">
            <v>NA</v>
          </cell>
          <cell r="E19" t="str">
            <v>NA</v>
          </cell>
          <cell r="F19" t="str">
            <v>NA</v>
          </cell>
          <cell r="G19" t="str">
            <v>NA</v>
          </cell>
          <cell r="H19" t="str">
            <v>NA</v>
          </cell>
          <cell r="I19" t="str">
            <v>NA</v>
          </cell>
        </row>
        <row r="20">
          <cell r="B20" t="str">
            <v>Unallocated Other</v>
          </cell>
          <cell r="C20" t="str">
            <v>NA</v>
          </cell>
          <cell r="D20" t="str">
            <v>NA</v>
          </cell>
          <cell r="E20" t="str">
            <v>NA</v>
          </cell>
          <cell r="F20" t="str">
            <v>NA</v>
          </cell>
          <cell r="G20" t="str">
            <v>NA</v>
          </cell>
          <cell r="H20" t="str">
            <v>NA</v>
          </cell>
          <cell r="I20" t="str">
            <v>NA</v>
          </cell>
        </row>
        <row r="26">
          <cell r="B26" t="str">
            <v>Europe</v>
          </cell>
          <cell r="C26" t="str">
            <v>NA</v>
          </cell>
          <cell r="D26" t="str">
            <v>NA</v>
          </cell>
          <cell r="E26" t="str">
            <v>NA</v>
          </cell>
          <cell r="F26" t="str">
            <v>NA</v>
          </cell>
          <cell r="G26" t="str">
            <v>NA</v>
          </cell>
          <cell r="H26" t="str">
            <v>NA</v>
          </cell>
          <cell r="I26" t="str">
            <v>NA</v>
          </cell>
        </row>
        <row r="27">
          <cell r="B27" t="str">
            <v>Asia Pacific</v>
          </cell>
          <cell r="C27" t="str">
            <v>NA</v>
          </cell>
          <cell r="D27" t="str">
            <v>NA</v>
          </cell>
          <cell r="E27" t="str">
            <v>NA</v>
          </cell>
          <cell r="F27" t="str">
            <v>NA</v>
          </cell>
          <cell r="G27" t="str">
            <v>NA</v>
          </cell>
          <cell r="H27" t="str">
            <v>NA</v>
          </cell>
          <cell r="I27" t="str">
            <v>NA</v>
          </cell>
        </row>
        <row r="28">
          <cell r="B28" t="str">
            <v>Americas</v>
          </cell>
          <cell r="C28" t="str">
            <v>NA</v>
          </cell>
          <cell r="D28" t="str">
            <v>NA</v>
          </cell>
          <cell r="E28" t="str">
            <v>NA</v>
          </cell>
          <cell r="F28" t="str">
            <v>NA</v>
          </cell>
          <cell r="G28" t="str">
            <v>NA</v>
          </cell>
          <cell r="H28" t="str">
            <v>NA</v>
          </cell>
          <cell r="I28" t="str">
            <v>NA</v>
          </cell>
        </row>
        <row r="29">
          <cell r="B29" t="str">
            <v>United States</v>
          </cell>
          <cell r="C29">
            <v>1019</v>
          </cell>
          <cell r="D29">
            <v>1214</v>
          </cell>
          <cell r="E29">
            <v>1251</v>
          </cell>
          <cell r="F29">
            <v>1314</v>
          </cell>
          <cell r="G29">
            <v>1414</v>
          </cell>
          <cell r="H29">
            <v>1619</v>
          </cell>
          <cell r="I29">
            <v>1752</v>
          </cell>
        </row>
        <row r="30">
          <cell r="B30" t="str">
            <v>China Includes Hong Kong</v>
          </cell>
          <cell r="C30" t="str">
            <v>NA</v>
          </cell>
          <cell r="D30">
            <v>693</v>
          </cell>
          <cell r="E30">
            <v>839</v>
          </cell>
          <cell r="F30">
            <v>900</v>
          </cell>
          <cell r="G30">
            <v>1015</v>
          </cell>
          <cell r="H30">
            <v>1019</v>
          </cell>
          <cell r="I30">
            <v>1087</v>
          </cell>
        </row>
        <row r="31">
          <cell r="B31" t="str">
            <v>Rest of the World</v>
          </cell>
          <cell r="C31">
            <v>2486</v>
          </cell>
          <cell r="D31">
            <v>2131</v>
          </cell>
          <cell r="E31">
            <v>2112</v>
          </cell>
          <cell r="F31">
            <v>2258</v>
          </cell>
          <cell r="G31">
            <v>2485</v>
          </cell>
          <cell r="H31">
            <v>2525</v>
          </cell>
          <cell r="I31">
            <v>2500</v>
          </cell>
        </row>
        <row r="32">
          <cell r="B32" t="str">
            <v>Germany</v>
          </cell>
          <cell r="C32" t="str">
            <v>NA</v>
          </cell>
          <cell r="D32" t="str">
            <v>NA</v>
          </cell>
          <cell r="E32" t="str">
            <v>NA</v>
          </cell>
          <cell r="F32" t="str">
            <v>NA</v>
          </cell>
          <cell r="G32" t="str">
            <v>NA</v>
          </cell>
          <cell r="H32" t="str">
            <v>NA</v>
          </cell>
          <cell r="I32" t="str">
            <v>NA</v>
          </cell>
        </row>
        <row r="33">
          <cell r="B33" t="str">
            <v>China</v>
          </cell>
          <cell r="C33">
            <v>543</v>
          </cell>
          <cell r="D33" t="str">
            <v>NA</v>
          </cell>
          <cell r="E33" t="str">
            <v>NA</v>
          </cell>
          <cell r="F33" t="str">
            <v>NA</v>
          </cell>
          <cell r="G33" t="str">
            <v>NA</v>
          </cell>
          <cell r="H33" t="str">
            <v>NA</v>
          </cell>
          <cell r="I33" t="str">
            <v>NA</v>
          </cell>
        </row>
        <row r="34">
          <cell r="B34" t="str">
            <v>Foreign</v>
          </cell>
          <cell r="C34" t="str">
            <v>NA</v>
          </cell>
          <cell r="D34" t="str">
            <v>NA</v>
          </cell>
          <cell r="E34" t="str">
            <v>NA</v>
          </cell>
          <cell r="F34" t="str">
            <v>NA</v>
          </cell>
          <cell r="G34" t="str">
            <v>NA</v>
          </cell>
          <cell r="H34" t="str">
            <v>NA</v>
          </cell>
          <cell r="I34" t="str">
            <v>NA</v>
          </cell>
        </row>
        <row r="35">
          <cell r="B35" t="str">
            <v>Japan</v>
          </cell>
          <cell r="C35" t="str">
            <v>NA</v>
          </cell>
          <cell r="D35" t="str">
            <v>NA</v>
          </cell>
          <cell r="E35" t="str">
            <v>NA</v>
          </cell>
          <cell r="F35" t="str">
            <v>NA</v>
          </cell>
          <cell r="G35" t="str">
            <v>NA</v>
          </cell>
          <cell r="H35" t="str">
            <v>NA</v>
          </cell>
          <cell r="I35" t="str">
            <v>NA</v>
          </cell>
        </row>
        <row r="36">
          <cell r="B36" t="str">
            <v>Segment Adjustment</v>
          </cell>
          <cell r="C36" t="str">
            <v>NA</v>
          </cell>
          <cell r="D36" t="str">
            <v>NA</v>
          </cell>
          <cell r="E36" t="str">
            <v>NA</v>
          </cell>
          <cell r="F36" t="str">
            <v>NA</v>
          </cell>
          <cell r="G36" t="str">
            <v>NA</v>
          </cell>
          <cell r="H36" t="str">
            <v>NA</v>
          </cell>
          <cell r="I36" t="str">
            <v>NA</v>
          </cell>
        </row>
      </sheetData>
      <sheetData sheetId="31" refreshError="1"/>
      <sheetData sheetId="32" refreshError="1"/>
      <sheetData sheetId="33" refreshError="1"/>
      <sheetData sheetId="34" refreshError="1"/>
      <sheetData sheetId="35" refreshError="1"/>
      <sheetData sheetId="36">
        <row r="8">
          <cell r="C8" t="str">
            <v>IQKD1759117323</v>
          </cell>
        </row>
        <row r="9">
          <cell r="C9" t="str">
            <v>IQKD1758863677</v>
          </cell>
        </row>
        <row r="10">
          <cell r="C10" t="str">
            <v>IQKD1758841527</v>
          </cell>
        </row>
        <row r="11">
          <cell r="C11" t="str">
            <v>IQKD1686425925</v>
          </cell>
        </row>
        <row r="12">
          <cell r="C12" t="str">
            <v>IQKD1686761856</v>
          </cell>
        </row>
        <row r="13">
          <cell r="C13" t="str">
            <v>IQKD1685063108</v>
          </cell>
        </row>
        <row r="14">
          <cell r="C14" t="str">
            <v>IQKD1683177688</v>
          </cell>
        </row>
        <row r="15">
          <cell r="C15" t="str">
            <v>IQKD1682807764</v>
          </cell>
        </row>
        <row r="16">
          <cell r="C16" t="str">
            <v>IQKD1676402290</v>
          </cell>
        </row>
        <row r="17">
          <cell r="C17" t="str">
            <v>IQKD1674848093</v>
          </cell>
        </row>
        <row r="18">
          <cell r="C18" t="str">
            <v>IQKD1680057058</v>
          </cell>
        </row>
        <row r="19">
          <cell r="C19" t="str">
            <v>IQKD1679130880</v>
          </cell>
        </row>
        <row r="20">
          <cell r="C20" t="str">
            <v>IQKD1673448398</v>
          </cell>
        </row>
        <row r="21">
          <cell r="C21" t="str">
            <v>IQKD1678616085</v>
          </cell>
        </row>
        <row r="22">
          <cell r="C22" t="str">
            <v>IQKD1677968672</v>
          </cell>
        </row>
        <row r="23">
          <cell r="C23" t="str">
            <v>IQKD1674715976</v>
          </cell>
        </row>
        <row r="24">
          <cell r="C24" t="str">
            <v>IQKD1676061528</v>
          </cell>
        </row>
        <row r="25">
          <cell r="C25" t="str">
            <v>IQKD1674643730</v>
          </cell>
        </row>
        <row r="26">
          <cell r="C26" t="str">
            <v>IQKD1674632976</v>
          </cell>
        </row>
        <row r="27">
          <cell r="C27" t="str">
            <v>IQKD1674607803</v>
          </cell>
        </row>
        <row r="28">
          <cell r="C28" t="str">
            <v>IQKD1672509653</v>
          </cell>
        </row>
        <row r="29">
          <cell r="C29" t="str">
            <v>IQKD1671541578</v>
          </cell>
        </row>
        <row r="30">
          <cell r="C30" t="str">
            <v>IQKD717111348</v>
          </cell>
        </row>
        <row r="31">
          <cell r="C31" t="str">
            <v>IQKD715547189</v>
          </cell>
        </row>
        <row r="32">
          <cell r="C32" t="str">
            <v>IQKD717058040</v>
          </cell>
        </row>
        <row r="33">
          <cell r="C33" t="str">
            <v>IQKD713493591</v>
          </cell>
        </row>
        <row r="34">
          <cell r="C34" t="str">
            <v>IQKD716345545</v>
          </cell>
        </row>
        <row r="35">
          <cell r="C35" t="str">
            <v>IQKD716507550</v>
          </cell>
        </row>
        <row r="36">
          <cell r="C36" t="str">
            <v>IQKD713493623</v>
          </cell>
        </row>
      </sheetData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Q_ChartParameters"/>
      <sheetName val="Start Page"/>
      <sheetName val="Page One"/>
      <sheetName val="Snapshot Worksheet"/>
      <sheetName val="Financial Overview"/>
      <sheetName val="Investment Thesis"/>
      <sheetName val="Comp Data"/>
      <sheetName val="Chart"/>
      <sheetName val="Charts - Segment"/>
      <sheetName val="Segment - New Business Segments"/>
      <sheetName val="Data - Geography wise"/>
      <sheetName val="_CIQHiddenCacheSheet"/>
      <sheetName val="Group Level Data &amp; Ratios"/>
      <sheetName val="Segment Data - Old Reporting"/>
      <sheetName val="Other Data"/>
      <sheetName val="Valuation &amp; Multiples"/>
      <sheetName val="Share Details"/>
      <sheetName val="Earnings Surprise &amp; Guidance"/>
      <sheetName val="Public Comps (1) - Pure Play"/>
      <sheetName val="Relative Valu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108">
          <cell r="O108" t="str">
            <v>Q1 09</v>
          </cell>
        </row>
      </sheetData>
      <sheetData sheetId="10"/>
      <sheetData sheetId="11"/>
      <sheetData sheetId="12">
        <row r="199">
          <cell r="R199" t="str">
            <v>Q2 07</v>
          </cell>
        </row>
      </sheetData>
      <sheetData sheetId="13">
        <row r="69">
          <cell r="B69" t="str">
            <v>Svk Materials Technology</v>
          </cell>
        </row>
      </sheetData>
      <sheetData sheetId="14">
        <row r="47">
          <cell r="B47" t="str">
            <v>Mining Industry</v>
          </cell>
        </row>
      </sheetData>
      <sheetData sheetId="15">
        <row r="9">
          <cell r="BU9">
            <v>39206</v>
          </cell>
          <cell r="CJ9">
            <v>40669</v>
          </cell>
          <cell r="EL9">
            <v>39206</v>
          </cell>
          <cell r="EQ9">
            <v>40669</v>
          </cell>
        </row>
        <row r="10">
          <cell r="BU10">
            <v>39213</v>
          </cell>
          <cell r="CJ10">
            <v>40676</v>
          </cell>
          <cell r="EL10">
            <v>39213</v>
          </cell>
          <cell r="EQ10">
            <v>40676</v>
          </cell>
        </row>
        <row r="11">
          <cell r="BU11">
            <v>39220</v>
          </cell>
          <cell r="CJ11">
            <v>40683</v>
          </cell>
          <cell r="EL11">
            <v>39220</v>
          </cell>
          <cell r="EQ11">
            <v>40683</v>
          </cell>
        </row>
        <row r="12">
          <cell r="BU12">
            <v>39227</v>
          </cell>
          <cell r="CJ12">
            <v>40690</v>
          </cell>
          <cell r="EL12">
            <v>39227</v>
          </cell>
          <cell r="EQ12">
            <v>40690</v>
          </cell>
        </row>
        <row r="13">
          <cell r="BU13">
            <v>39234</v>
          </cell>
          <cell r="CJ13">
            <v>40697</v>
          </cell>
          <cell r="EL13">
            <v>39234</v>
          </cell>
          <cell r="EQ13">
            <v>40697</v>
          </cell>
        </row>
        <row r="14">
          <cell r="BU14">
            <v>39241</v>
          </cell>
          <cell r="CJ14">
            <v>40704</v>
          </cell>
          <cell r="EL14">
            <v>39241</v>
          </cell>
          <cell r="EQ14">
            <v>40704</v>
          </cell>
        </row>
        <row r="15">
          <cell r="BU15">
            <v>39248</v>
          </cell>
          <cell r="CJ15">
            <v>40711</v>
          </cell>
          <cell r="EL15">
            <v>39248</v>
          </cell>
          <cell r="EQ15">
            <v>40711</v>
          </cell>
        </row>
        <row r="16">
          <cell r="BU16">
            <v>39254</v>
          </cell>
          <cell r="CJ16">
            <v>40717</v>
          </cell>
          <cell r="EL16">
            <v>39254</v>
          </cell>
          <cell r="EQ16">
            <v>40717</v>
          </cell>
        </row>
        <row r="17">
          <cell r="BU17">
            <v>39262</v>
          </cell>
          <cell r="CJ17">
            <v>40725</v>
          </cell>
          <cell r="EL17">
            <v>39262</v>
          </cell>
          <cell r="EQ17">
            <v>40725</v>
          </cell>
        </row>
        <row r="18">
          <cell r="BU18">
            <v>39269</v>
          </cell>
          <cell r="CJ18">
            <v>40732</v>
          </cell>
          <cell r="EL18">
            <v>39269</v>
          </cell>
          <cell r="EQ18">
            <v>40732</v>
          </cell>
        </row>
        <row r="19">
          <cell r="BU19">
            <v>39276</v>
          </cell>
          <cell r="CJ19">
            <v>40739</v>
          </cell>
          <cell r="EL19">
            <v>39276</v>
          </cell>
          <cell r="EQ19">
            <v>40739</v>
          </cell>
        </row>
        <row r="20">
          <cell r="BU20">
            <v>39283</v>
          </cell>
          <cell r="CJ20">
            <v>40746</v>
          </cell>
          <cell r="EL20">
            <v>39283</v>
          </cell>
          <cell r="EQ20">
            <v>40746</v>
          </cell>
        </row>
        <row r="21">
          <cell r="BU21">
            <v>39290</v>
          </cell>
          <cell r="CJ21">
            <v>40753</v>
          </cell>
          <cell r="EL21">
            <v>39290</v>
          </cell>
          <cell r="EQ21">
            <v>40753</v>
          </cell>
        </row>
        <row r="22">
          <cell r="BU22">
            <v>39297</v>
          </cell>
          <cell r="CJ22">
            <v>40760</v>
          </cell>
          <cell r="EL22">
            <v>39297</v>
          </cell>
          <cell r="EQ22">
            <v>40760</v>
          </cell>
        </row>
        <row r="23">
          <cell r="BU23">
            <v>39304</v>
          </cell>
          <cell r="CJ23">
            <v>40767</v>
          </cell>
          <cell r="EL23">
            <v>39304</v>
          </cell>
          <cell r="EQ23">
            <v>40767</v>
          </cell>
        </row>
        <row r="24">
          <cell r="BU24">
            <v>39311</v>
          </cell>
          <cell r="CJ24">
            <v>40774</v>
          </cell>
          <cell r="EL24">
            <v>39311</v>
          </cell>
          <cell r="EQ24">
            <v>40774</v>
          </cell>
        </row>
        <row r="25">
          <cell r="BU25">
            <v>39318</v>
          </cell>
          <cell r="CJ25">
            <v>40781</v>
          </cell>
          <cell r="EL25">
            <v>39318</v>
          </cell>
          <cell r="EQ25">
            <v>40781</v>
          </cell>
        </row>
        <row r="26">
          <cell r="BU26">
            <v>39325</v>
          </cell>
          <cell r="CJ26">
            <v>40788</v>
          </cell>
          <cell r="EL26">
            <v>39325</v>
          </cell>
          <cell r="EQ26">
            <v>40788</v>
          </cell>
        </row>
        <row r="27">
          <cell r="BU27">
            <v>39332</v>
          </cell>
          <cell r="CJ27">
            <v>40795</v>
          </cell>
          <cell r="EL27">
            <v>39332</v>
          </cell>
          <cell r="EQ27">
            <v>40795</v>
          </cell>
        </row>
        <row r="28">
          <cell r="BU28">
            <v>39339</v>
          </cell>
          <cell r="CJ28">
            <v>40802</v>
          </cell>
          <cell r="EL28">
            <v>39339</v>
          </cell>
          <cell r="EQ28">
            <v>40802</v>
          </cell>
        </row>
        <row r="29">
          <cell r="BU29">
            <v>39346</v>
          </cell>
          <cell r="CJ29">
            <v>40809</v>
          </cell>
          <cell r="EL29">
            <v>39346</v>
          </cell>
          <cell r="EQ29">
            <v>40809</v>
          </cell>
        </row>
        <row r="30">
          <cell r="BU30">
            <v>39353</v>
          </cell>
          <cell r="CJ30">
            <v>40816</v>
          </cell>
          <cell r="EL30">
            <v>39353</v>
          </cell>
          <cell r="EQ30">
            <v>40816</v>
          </cell>
        </row>
        <row r="31">
          <cell r="BU31">
            <v>39360</v>
          </cell>
          <cell r="CJ31">
            <v>40823</v>
          </cell>
          <cell r="EL31">
            <v>39360</v>
          </cell>
          <cell r="EQ31">
            <v>40823</v>
          </cell>
        </row>
        <row r="32">
          <cell r="BU32">
            <v>39367</v>
          </cell>
          <cell r="CJ32">
            <v>40830</v>
          </cell>
          <cell r="EL32">
            <v>39367</v>
          </cell>
          <cell r="EQ32">
            <v>40830</v>
          </cell>
        </row>
        <row r="33">
          <cell r="BU33">
            <v>39374</v>
          </cell>
          <cell r="CJ33">
            <v>40837</v>
          </cell>
          <cell r="EL33">
            <v>39374</v>
          </cell>
          <cell r="EQ33">
            <v>40837</v>
          </cell>
        </row>
        <row r="34">
          <cell r="BU34">
            <v>39381</v>
          </cell>
          <cell r="CJ34">
            <v>40844</v>
          </cell>
          <cell r="EL34">
            <v>39381</v>
          </cell>
          <cell r="EQ34">
            <v>40844</v>
          </cell>
        </row>
        <row r="35">
          <cell r="BU35">
            <v>39388</v>
          </cell>
          <cell r="CJ35">
            <v>40851</v>
          </cell>
          <cell r="EL35">
            <v>39388</v>
          </cell>
          <cell r="EQ35">
            <v>40851</v>
          </cell>
        </row>
        <row r="36">
          <cell r="BU36">
            <v>39395</v>
          </cell>
          <cell r="CJ36">
            <v>40858</v>
          </cell>
          <cell r="EL36">
            <v>39395</v>
          </cell>
          <cell r="EQ36">
            <v>40858</v>
          </cell>
        </row>
        <row r="37">
          <cell r="BU37">
            <v>39402</v>
          </cell>
          <cell r="CJ37">
            <v>40865</v>
          </cell>
          <cell r="EL37">
            <v>39402</v>
          </cell>
          <cell r="EQ37">
            <v>40865</v>
          </cell>
        </row>
        <row r="38">
          <cell r="BU38">
            <v>39409</v>
          </cell>
          <cell r="CJ38">
            <v>40872</v>
          </cell>
          <cell r="EL38">
            <v>39409</v>
          </cell>
          <cell r="EQ38">
            <v>40872</v>
          </cell>
        </row>
        <row r="39">
          <cell r="BU39">
            <v>39416</v>
          </cell>
          <cell r="CJ39">
            <v>40879</v>
          </cell>
          <cell r="EL39">
            <v>39416</v>
          </cell>
          <cell r="EQ39">
            <v>40879</v>
          </cell>
        </row>
        <row r="40">
          <cell r="BU40">
            <v>39423</v>
          </cell>
          <cell r="CJ40">
            <v>40886</v>
          </cell>
          <cell r="EL40">
            <v>39423</v>
          </cell>
          <cell r="EQ40">
            <v>40886</v>
          </cell>
        </row>
        <row r="41">
          <cell r="BU41">
            <v>39430</v>
          </cell>
          <cell r="CJ41">
            <v>40893</v>
          </cell>
          <cell r="EL41">
            <v>39430</v>
          </cell>
          <cell r="EQ41">
            <v>40893</v>
          </cell>
        </row>
        <row r="42">
          <cell r="BU42">
            <v>39437</v>
          </cell>
          <cell r="CJ42">
            <v>40900</v>
          </cell>
          <cell r="EL42">
            <v>39437</v>
          </cell>
          <cell r="EQ42">
            <v>40900</v>
          </cell>
        </row>
        <row r="43">
          <cell r="BU43">
            <v>39444</v>
          </cell>
          <cell r="CJ43">
            <v>40907</v>
          </cell>
          <cell r="EL43">
            <v>39444</v>
          </cell>
          <cell r="EQ43">
            <v>40907</v>
          </cell>
        </row>
        <row r="44">
          <cell r="BU44">
            <v>39451</v>
          </cell>
          <cell r="CJ44">
            <v>40913</v>
          </cell>
          <cell r="EL44">
            <v>39451</v>
          </cell>
          <cell r="EQ44">
            <v>40913</v>
          </cell>
        </row>
        <row r="45">
          <cell r="BU45">
            <v>39458</v>
          </cell>
          <cell r="CJ45">
            <v>40921</v>
          </cell>
          <cell r="EL45">
            <v>39458</v>
          </cell>
          <cell r="EQ45">
            <v>40921</v>
          </cell>
        </row>
        <row r="46">
          <cell r="BU46">
            <v>39465</v>
          </cell>
          <cell r="CJ46">
            <v>40928</v>
          </cell>
          <cell r="EL46">
            <v>39465</v>
          </cell>
          <cell r="EQ46">
            <v>40928</v>
          </cell>
        </row>
        <row r="47">
          <cell r="BU47">
            <v>39472</v>
          </cell>
          <cell r="CJ47">
            <v>40935</v>
          </cell>
          <cell r="EL47">
            <v>39472</v>
          </cell>
          <cell r="EQ47">
            <v>40935</v>
          </cell>
        </row>
        <row r="48">
          <cell r="BU48">
            <v>39479</v>
          </cell>
          <cell r="CJ48">
            <v>40942</v>
          </cell>
          <cell r="EL48">
            <v>39479</v>
          </cell>
          <cell r="EQ48">
            <v>40942</v>
          </cell>
        </row>
        <row r="49">
          <cell r="BU49">
            <v>39486</v>
          </cell>
          <cell r="CJ49">
            <v>40949</v>
          </cell>
          <cell r="EL49">
            <v>39486</v>
          </cell>
          <cell r="EQ49">
            <v>40949</v>
          </cell>
        </row>
        <row r="50">
          <cell r="BU50">
            <v>39493</v>
          </cell>
          <cell r="CJ50">
            <v>40956</v>
          </cell>
          <cell r="EL50">
            <v>39493</v>
          </cell>
          <cell r="EQ50">
            <v>40956</v>
          </cell>
        </row>
        <row r="51">
          <cell r="BU51">
            <v>39500</v>
          </cell>
          <cell r="CJ51">
            <v>40963</v>
          </cell>
          <cell r="EL51">
            <v>39500</v>
          </cell>
          <cell r="EQ51">
            <v>40963</v>
          </cell>
        </row>
        <row r="52">
          <cell r="BU52">
            <v>39507</v>
          </cell>
          <cell r="CJ52">
            <v>40970</v>
          </cell>
          <cell r="EL52">
            <v>39507</v>
          </cell>
          <cell r="EQ52">
            <v>40970</v>
          </cell>
        </row>
        <row r="53">
          <cell r="BU53">
            <v>39514</v>
          </cell>
          <cell r="CJ53">
            <v>40977</v>
          </cell>
          <cell r="EL53">
            <v>39514</v>
          </cell>
          <cell r="EQ53">
            <v>40977</v>
          </cell>
        </row>
        <row r="54">
          <cell r="BU54">
            <v>39521</v>
          </cell>
          <cell r="CJ54">
            <v>40984</v>
          </cell>
          <cell r="EL54">
            <v>39521</v>
          </cell>
          <cell r="EQ54">
            <v>40984</v>
          </cell>
        </row>
        <row r="55">
          <cell r="BU55">
            <v>39527</v>
          </cell>
          <cell r="CJ55">
            <v>40991</v>
          </cell>
          <cell r="EL55">
            <v>39527</v>
          </cell>
          <cell r="EQ55">
            <v>40991</v>
          </cell>
        </row>
        <row r="56">
          <cell r="BU56">
            <v>39535</v>
          </cell>
          <cell r="CJ56">
            <v>40998</v>
          </cell>
          <cell r="EL56">
            <v>39535</v>
          </cell>
          <cell r="EQ56">
            <v>40998</v>
          </cell>
        </row>
        <row r="57">
          <cell r="BU57">
            <v>39542</v>
          </cell>
          <cell r="CJ57">
            <v>41004</v>
          </cell>
          <cell r="EL57">
            <v>39542</v>
          </cell>
          <cell r="EQ57">
            <v>41004</v>
          </cell>
        </row>
        <row r="58">
          <cell r="BU58">
            <v>39549</v>
          </cell>
          <cell r="CJ58">
            <v>41012</v>
          </cell>
          <cell r="EL58">
            <v>39549</v>
          </cell>
          <cell r="EQ58">
            <v>41012</v>
          </cell>
        </row>
        <row r="59">
          <cell r="BU59">
            <v>39556</v>
          </cell>
          <cell r="CJ59">
            <v>41019</v>
          </cell>
          <cell r="EL59">
            <v>39556</v>
          </cell>
          <cell r="EQ59">
            <v>41019</v>
          </cell>
        </row>
        <row r="60">
          <cell r="BU60">
            <v>39563</v>
          </cell>
          <cell r="CJ60">
            <v>41026</v>
          </cell>
          <cell r="EL60">
            <v>39563</v>
          </cell>
          <cell r="EQ60">
            <v>41026</v>
          </cell>
        </row>
        <row r="61">
          <cell r="BU61">
            <v>39570</v>
          </cell>
          <cell r="EL61">
            <v>39570</v>
          </cell>
        </row>
        <row r="62">
          <cell r="BU62">
            <v>39577</v>
          </cell>
          <cell r="EL62">
            <v>39577</v>
          </cell>
        </row>
        <row r="63">
          <cell r="BU63">
            <v>39584</v>
          </cell>
          <cell r="EL63">
            <v>39584</v>
          </cell>
        </row>
        <row r="64">
          <cell r="BU64">
            <v>39591</v>
          </cell>
          <cell r="EL64">
            <v>39591</v>
          </cell>
        </row>
        <row r="65">
          <cell r="BU65">
            <v>39598</v>
          </cell>
          <cell r="EL65">
            <v>39598</v>
          </cell>
        </row>
        <row r="66">
          <cell r="BU66">
            <v>39604</v>
          </cell>
          <cell r="EL66">
            <v>39604</v>
          </cell>
        </row>
        <row r="67">
          <cell r="BU67">
            <v>39612</v>
          </cell>
          <cell r="EL67">
            <v>39612</v>
          </cell>
        </row>
        <row r="68">
          <cell r="BU68">
            <v>39618</v>
          </cell>
          <cell r="EL68">
            <v>39618</v>
          </cell>
        </row>
        <row r="69">
          <cell r="BU69">
            <v>39626</v>
          </cell>
          <cell r="EL69">
            <v>39626</v>
          </cell>
        </row>
        <row r="70">
          <cell r="BU70">
            <v>39633</v>
          </cell>
          <cell r="EL70">
            <v>39633</v>
          </cell>
        </row>
        <row r="71">
          <cell r="BU71">
            <v>39640</v>
          </cell>
          <cell r="EL71">
            <v>39640</v>
          </cell>
        </row>
        <row r="72">
          <cell r="BU72">
            <v>39647</v>
          </cell>
          <cell r="EL72">
            <v>39647</v>
          </cell>
        </row>
        <row r="73">
          <cell r="BU73">
            <v>39654</v>
          </cell>
          <cell r="EL73">
            <v>39654</v>
          </cell>
        </row>
        <row r="74">
          <cell r="BU74">
            <v>39661</v>
          </cell>
          <cell r="EL74">
            <v>39661</v>
          </cell>
        </row>
        <row r="75">
          <cell r="BU75">
            <v>39668</v>
          </cell>
          <cell r="EL75">
            <v>39668</v>
          </cell>
        </row>
        <row r="76">
          <cell r="BU76">
            <v>39675</v>
          </cell>
          <cell r="EL76">
            <v>39675</v>
          </cell>
        </row>
        <row r="77">
          <cell r="BU77">
            <v>39682</v>
          </cell>
          <cell r="EL77">
            <v>39682</v>
          </cell>
        </row>
        <row r="78">
          <cell r="BU78">
            <v>39689</v>
          </cell>
          <cell r="EL78">
            <v>39689</v>
          </cell>
        </row>
        <row r="79">
          <cell r="BU79">
            <v>39696</v>
          </cell>
          <cell r="EL79">
            <v>39696</v>
          </cell>
        </row>
        <row r="80">
          <cell r="BU80">
            <v>39703</v>
          </cell>
          <cell r="EL80">
            <v>39703</v>
          </cell>
        </row>
        <row r="81">
          <cell r="BU81">
            <v>39710</v>
          </cell>
          <cell r="EL81">
            <v>39710</v>
          </cell>
        </row>
        <row r="82">
          <cell r="BU82">
            <v>39717</v>
          </cell>
          <cell r="EL82">
            <v>39717</v>
          </cell>
        </row>
        <row r="83">
          <cell r="BU83">
            <v>39724</v>
          </cell>
          <cell r="EL83">
            <v>39724</v>
          </cell>
        </row>
        <row r="84">
          <cell r="BU84">
            <v>39731</v>
          </cell>
          <cell r="EL84">
            <v>39731</v>
          </cell>
        </row>
        <row r="85">
          <cell r="BU85">
            <v>39738</v>
          </cell>
          <cell r="EL85">
            <v>39738</v>
          </cell>
        </row>
        <row r="86">
          <cell r="BU86">
            <v>39745</v>
          </cell>
          <cell r="EL86">
            <v>39745</v>
          </cell>
        </row>
        <row r="87">
          <cell r="BU87">
            <v>39752</v>
          </cell>
          <cell r="EL87">
            <v>39752</v>
          </cell>
        </row>
        <row r="88">
          <cell r="BU88">
            <v>39759</v>
          </cell>
          <cell r="EL88">
            <v>39759</v>
          </cell>
        </row>
        <row r="89">
          <cell r="BU89">
            <v>39766</v>
          </cell>
          <cell r="EL89">
            <v>39766</v>
          </cell>
        </row>
        <row r="90">
          <cell r="BU90">
            <v>39773</v>
          </cell>
          <cell r="EL90">
            <v>39773</v>
          </cell>
        </row>
        <row r="91">
          <cell r="BU91">
            <v>39780</v>
          </cell>
          <cell r="EL91">
            <v>39780</v>
          </cell>
        </row>
        <row r="92">
          <cell r="BU92">
            <v>39787</v>
          </cell>
          <cell r="EL92">
            <v>39787</v>
          </cell>
        </row>
        <row r="93">
          <cell r="BU93">
            <v>39794</v>
          </cell>
          <cell r="EL93">
            <v>39794</v>
          </cell>
        </row>
        <row r="94">
          <cell r="BU94">
            <v>39801</v>
          </cell>
          <cell r="EL94">
            <v>39801</v>
          </cell>
        </row>
        <row r="95">
          <cell r="BU95">
            <v>39805</v>
          </cell>
          <cell r="EL95">
            <v>39805</v>
          </cell>
        </row>
        <row r="96">
          <cell r="BU96">
            <v>39815</v>
          </cell>
          <cell r="EL96">
            <v>39815</v>
          </cell>
        </row>
        <row r="97">
          <cell r="BU97">
            <v>39822</v>
          </cell>
          <cell r="EL97">
            <v>39822</v>
          </cell>
        </row>
        <row r="98">
          <cell r="BU98">
            <v>39829</v>
          </cell>
          <cell r="EL98">
            <v>39829</v>
          </cell>
        </row>
        <row r="99">
          <cell r="BU99">
            <v>39836</v>
          </cell>
          <cell r="EL99">
            <v>39836</v>
          </cell>
        </row>
        <row r="100">
          <cell r="BU100">
            <v>39843</v>
          </cell>
          <cell r="EL100">
            <v>39843</v>
          </cell>
        </row>
        <row r="101">
          <cell r="BU101">
            <v>39850</v>
          </cell>
          <cell r="EL101">
            <v>39850</v>
          </cell>
        </row>
        <row r="102">
          <cell r="BU102">
            <v>39857</v>
          </cell>
          <cell r="EL102">
            <v>39857</v>
          </cell>
        </row>
        <row r="103">
          <cell r="BU103">
            <v>39864</v>
          </cell>
          <cell r="EL103">
            <v>39864</v>
          </cell>
        </row>
        <row r="104">
          <cell r="BU104">
            <v>39871</v>
          </cell>
          <cell r="EL104">
            <v>39871</v>
          </cell>
        </row>
        <row r="105">
          <cell r="BU105">
            <v>39878</v>
          </cell>
          <cell r="EL105">
            <v>39878</v>
          </cell>
        </row>
        <row r="106">
          <cell r="BU106">
            <v>39885</v>
          </cell>
          <cell r="EL106">
            <v>39885</v>
          </cell>
        </row>
        <row r="107">
          <cell r="BU107">
            <v>39892</v>
          </cell>
          <cell r="EL107">
            <v>39892</v>
          </cell>
        </row>
        <row r="108">
          <cell r="BU108">
            <v>39899</v>
          </cell>
          <cell r="EL108">
            <v>39899</v>
          </cell>
        </row>
        <row r="109">
          <cell r="BU109">
            <v>39906</v>
          </cell>
          <cell r="EL109">
            <v>39906</v>
          </cell>
        </row>
        <row r="110">
          <cell r="BU110">
            <v>39912</v>
          </cell>
          <cell r="EL110">
            <v>39912</v>
          </cell>
        </row>
        <row r="111">
          <cell r="BU111">
            <v>39920</v>
          </cell>
          <cell r="EL111">
            <v>39920</v>
          </cell>
        </row>
        <row r="112">
          <cell r="BU112">
            <v>39927</v>
          </cell>
          <cell r="EL112">
            <v>39927</v>
          </cell>
        </row>
        <row r="113">
          <cell r="BU113">
            <v>39933</v>
          </cell>
          <cell r="EL113">
            <v>39933</v>
          </cell>
        </row>
        <row r="114">
          <cell r="BU114">
            <v>39941</v>
          </cell>
          <cell r="EL114">
            <v>39941</v>
          </cell>
        </row>
        <row r="115">
          <cell r="BU115">
            <v>39948</v>
          </cell>
          <cell r="EL115">
            <v>39948</v>
          </cell>
        </row>
        <row r="116">
          <cell r="BU116">
            <v>39955</v>
          </cell>
          <cell r="EL116">
            <v>39955</v>
          </cell>
        </row>
        <row r="117">
          <cell r="BU117">
            <v>39962</v>
          </cell>
          <cell r="EL117">
            <v>39962</v>
          </cell>
        </row>
        <row r="118">
          <cell r="BU118">
            <v>39969</v>
          </cell>
          <cell r="EL118">
            <v>39969</v>
          </cell>
        </row>
        <row r="119">
          <cell r="BU119">
            <v>39976</v>
          </cell>
          <cell r="EL119">
            <v>39976</v>
          </cell>
        </row>
        <row r="120">
          <cell r="BU120">
            <v>39982</v>
          </cell>
          <cell r="EL120">
            <v>39982</v>
          </cell>
        </row>
        <row r="121">
          <cell r="BU121">
            <v>39990</v>
          </cell>
          <cell r="EL121">
            <v>39990</v>
          </cell>
        </row>
        <row r="122">
          <cell r="BU122">
            <v>39997</v>
          </cell>
          <cell r="EL122">
            <v>39997</v>
          </cell>
        </row>
        <row r="123">
          <cell r="BU123">
            <v>40004</v>
          </cell>
          <cell r="EL123">
            <v>40004</v>
          </cell>
        </row>
        <row r="124">
          <cell r="BU124">
            <v>40011</v>
          </cell>
          <cell r="EL124">
            <v>40011</v>
          </cell>
        </row>
        <row r="125">
          <cell r="BU125">
            <v>40018</v>
          </cell>
          <cell r="EL125">
            <v>40018</v>
          </cell>
        </row>
        <row r="126">
          <cell r="BU126">
            <v>40025</v>
          </cell>
          <cell r="EL126">
            <v>40025</v>
          </cell>
        </row>
        <row r="127">
          <cell r="BU127">
            <v>40032</v>
          </cell>
          <cell r="EL127">
            <v>40032</v>
          </cell>
        </row>
        <row r="128">
          <cell r="BU128">
            <v>40039</v>
          </cell>
          <cell r="EL128">
            <v>40039</v>
          </cell>
        </row>
        <row r="129">
          <cell r="BU129">
            <v>40046</v>
          </cell>
          <cell r="EL129">
            <v>40046</v>
          </cell>
        </row>
        <row r="130">
          <cell r="BU130">
            <v>40053</v>
          </cell>
          <cell r="EL130">
            <v>40053</v>
          </cell>
        </row>
        <row r="131">
          <cell r="BU131">
            <v>40060</v>
          </cell>
          <cell r="EL131">
            <v>40060</v>
          </cell>
        </row>
        <row r="132">
          <cell r="BU132">
            <v>40067</v>
          </cell>
          <cell r="EL132">
            <v>40067</v>
          </cell>
        </row>
        <row r="133">
          <cell r="BU133">
            <v>40074</v>
          </cell>
          <cell r="EL133">
            <v>40074</v>
          </cell>
        </row>
        <row r="134">
          <cell r="BU134">
            <v>40081</v>
          </cell>
          <cell r="EL134">
            <v>40081</v>
          </cell>
        </row>
        <row r="135">
          <cell r="BU135">
            <v>40088</v>
          </cell>
          <cell r="EL135">
            <v>40088</v>
          </cell>
        </row>
        <row r="136">
          <cell r="BU136">
            <v>40095</v>
          </cell>
          <cell r="EL136">
            <v>40095</v>
          </cell>
        </row>
        <row r="137">
          <cell r="BU137">
            <v>40102</v>
          </cell>
          <cell r="EL137">
            <v>40102</v>
          </cell>
        </row>
        <row r="138">
          <cell r="BU138">
            <v>40109</v>
          </cell>
          <cell r="EL138">
            <v>40109</v>
          </cell>
        </row>
        <row r="139">
          <cell r="BU139">
            <v>40116</v>
          </cell>
          <cell r="EL139">
            <v>40116</v>
          </cell>
        </row>
        <row r="140">
          <cell r="BU140">
            <v>40123</v>
          </cell>
          <cell r="EL140">
            <v>40123</v>
          </cell>
        </row>
        <row r="141">
          <cell r="BU141">
            <v>40130</v>
          </cell>
          <cell r="EL141">
            <v>40130</v>
          </cell>
        </row>
        <row r="142">
          <cell r="BU142">
            <v>40137</v>
          </cell>
          <cell r="EL142">
            <v>40137</v>
          </cell>
        </row>
        <row r="143">
          <cell r="BU143">
            <v>40144</v>
          </cell>
          <cell r="EL143">
            <v>40144</v>
          </cell>
        </row>
        <row r="144">
          <cell r="BU144">
            <v>40151</v>
          </cell>
          <cell r="EL144">
            <v>40151</v>
          </cell>
        </row>
        <row r="145">
          <cell r="BU145">
            <v>40158</v>
          </cell>
          <cell r="EL145">
            <v>40158</v>
          </cell>
        </row>
        <row r="146">
          <cell r="BU146">
            <v>40165</v>
          </cell>
          <cell r="EL146">
            <v>40165</v>
          </cell>
        </row>
        <row r="147">
          <cell r="BU147">
            <v>40170</v>
          </cell>
          <cell r="EL147">
            <v>40170</v>
          </cell>
        </row>
        <row r="148">
          <cell r="BU148">
            <v>40177</v>
          </cell>
          <cell r="EL148">
            <v>40177</v>
          </cell>
        </row>
        <row r="149">
          <cell r="BU149">
            <v>40186</v>
          </cell>
          <cell r="EL149">
            <v>40186</v>
          </cell>
        </row>
        <row r="150">
          <cell r="BU150">
            <v>40193</v>
          </cell>
          <cell r="EL150">
            <v>40193</v>
          </cell>
        </row>
        <row r="151">
          <cell r="BU151">
            <v>40200</v>
          </cell>
          <cell r="EL151">
            <v>40200</v>
          </cell>
        </row>
        <row r="152">
          <cell r="BU152">
            <v>40207</v>
          </cell>
          <cell r="EL152">
            <v>40207</v>
          </cell>
        </row>
        <row r="153">
          <cell r="BU153">
            <v>40214</v>
          </cell>
          <cell r="EL153">
            <v>40214</v>
          </cell>
        </row>
        <row r="154">
          <cell r="BU154">
            <v>40221</v>
          </cell>
          <cell r="EL154">
            <v>40221</v>
          </cell>
        </row>
        <row r="155">
          <cell r="BU155">
            <v>40228</v>
          </cell>
          <cell r="EL155">
            <v>40228</v>
          </cell>
        </row>
        <row r="156">
          <cell r="BU156">
            <v>40235</v>
          </cell>
          <cell r="EL156">
            <v>40235</v>
          </cell>
        </row>
        <row r="157">
          <cell r="BU157">
            <v>40242</v>
          </cell>
          <cell r="EL157">
            <v>40242</v>
          </cell>
        </row>
        <row r="158">
          <cell r="BU158">
            <v>40249</v>
          </cell>
          <cell r="EL158">
            <v>40249</v>
          </cell>
        </row>
        <row r="159">
          <cell r="BU159">
            <v>40256</v>
          </cell>
          <cell r="EL159">
            <v>40256</v>
          </cell>
        </row>
        <row r="160">
          <cell r="BU160">
            <v>40263</v>
          </cell>
          <cell r="EL160">
            <v>40263</v>
          </cell>
        </row>
        <row r="161">
          <cell r="BU161">
            <v>40269</v>
          </cell>
          <cell r="EL161">
            <v>40269</v>
          </cell>
        </row>
        <row r="162">
          <cell r="BU162">
            <v>40277</v>
          </cell>
          <cell r="EL162">
            <v>40277</v>
          </cell>
        </row>
        <row r="163">
          <cell r="BU163">
            <v>40284</v>
          </cell>
          <cell r="EL163">
            <v>40284</v>
          </cell>
        </row>
        <row r="164">
          <cell r="BU164">
            <v>40291</v>
          </cell>
          <cell r="EL164">
            <v>40291</v>
          </cell>
        </row>
        <row r="165">
          <cell r="BU165">
            <v>40298</v>
          </cell>
          <cell r="EL165">
            <v>40298</v>
          </cell>
        </row>
        <row r="166">
          <cell r="BU166">
            <v>40305</v>
          </cell>
          <cell r="EL166">
            <v>40305</v>
          </cell>
        </row>
        <row r="167">
          <cell r="BU167">
            <v>40312</v>
          </cell>
          <cell r="EL167">
            <v>40312</v>
          </cell>
        </row>
        <row r="168">
          <cell r="BU168">
            <v>40319</v>
          </cell>
          <cell r="EL168">
            <v>40319</v>
          </cell>
        </row>
        <row r="169">
          <cell r="BU169">
            <v>40326</v>
          </cell>
          <cell r="EL169">
            <v>40326</v>
          </cell>
        </row>
        <row r="170">
          <cell r="BU170">
            <v>40333</v>
          </cell>
          <cell r="EL170">
            <v>40333</v>
          </cell>
        </row>
        <row r="171">
          <cell r="BU171">
            <v>40340</v>
          </cell>
          <cell r="EL171">
            <v>40340</v>
          </cell>
        </row>
        <row r="172">
          <cell r="BU172">
            <v>40347</v>
          </cell>
          <cell r="EL172">
            <v>40347</v>
          </cell>
        </row>
        <row r="173">
          <cell r="BU173">
            <v>40353</v>
          </cell>
          <cell r="EL173">
            <v>40353</v>
          </cell>
        </row>
        <row r="174">
          <cell r="BU174">
            <v>40361</v>
          </cell>
          <cell r="EL174">
            <v>40361</v>
          </cell>
        </row>
        <row r="175">
          <cell r="BU175">
            <v>40368</v>
          </cell>
          <cell r="EL175">
            <v>40368</v>
          </cell>
        </row>
        <row r="176">
          <cell r="BU176">
            <v>40375</v>
          </cell>
          <cell r="EL176">
            <v>40375</v>
          </cell>
        </row>
        <row r="177">
          <cell r="BU177">
            <v>40382</v>
          </cell>
          <cell r="EL177">
            <v>40382</v>
          </cell>
        </row>
        <row r="178">
          <cell r="BU178">
            <v>40389</v>
          </cell>
          <cell r="EL178">
            <v>40389</v>
          </cell>
        </row>
        <row r="179">
          <cell r="BU179">
            <v>40396</v>
          </cell>
          <cell r="EL179">
            <v>40396</v>
          </cell>
        </row>
        <row r="180">
          <cell r="BU180">
            <v>40403</v>
          </cell>
          <cell r="EL180">
            <v>40403</v>
          </cell>
        </row>
        <row r="181">
          <cell r="BU181">
            <v>40410</v>
          </cell>
          <cell r="EL181">
            <v>40410</v>
          </cell>
        </row>
        <row r="182">
          <cell r="BU182">
            <v>40417</v>
          </cell>
          <cell r="EL182">
            <v>40417</v>
          </cell>
        </row>
        <row r="183">
          <cell r="BU183">
            <v>40424</v>
          </cell>
          <cell r="EL183">
            <v>40424</v>
          </cell>
        </row>
        <row r="184">
          <cell r="BU184">
            <v>40431</v>
          </cell>
          <cell r="EL184">
            <v>40431</v>
          </cell>
        </row>
        <row r="185">
          <cell r="BU185">
            <v>40438</v>
          </cell>
          <cell r="EL185">
            <v>40438</v>
          </cell>
        </row>
        <row r="186">
          <cell r="BU186">
            <v>40445</v>
          </cell>
          <cell r="EL186">
            <v>40445</v>
          </cell>
        </row>
        <row r="187">
          <cell r="BU187">
            <v>40452</v>
          </cell>
          <cell r="EL187">
            <v>40452</v>
          </cell>
        </row>
        <row r="188">
          <cell r="BU188">
            <v>40459</v>
          </cell>
          <cell r="EL188">
            <v>40459</v>
          </cell>
        </row>
        <row r="189">
          <cell r="BU189">
            <v>40466</v>
          </cell>
          <cell r="EL189">
            <v>40466</v>
          </cell>
        </row>
        <row r="190">
          <cell r="BU190">
            <v>40473</v>
          </cell>
          <cell r="EL190">
            <v>40473</v>
          </cell>
        </row>
        <row r="191">
          <cell r="BU191">
            <v>40480</v>
          </cell>
          <cell r="EL191">
            <v>40480</v>
          </cell>
        </row>
        <row r="192">
          <cell r="BU192">
            <v>40487</v>
          </cell>
          <cell r="EL192">
            <v>40487</v>
          </cell>
        </row>
        <row r="193">
          <cell r="BU193">
            <v>40494</v>
          </cell>
          <cell r="EL193">
            <v>40494</v>
          </cell>
        </row>
        <row r="194">
          <cell r="BU194">
            <v>40501</v>
          </cell>
          <cell r="EL194">
            <v>40501</v>
          </cell>
        </row>
        <row r="195">
          <cell r="BU195">
            <v>40508</v>
          </cell>
          <cell r="EL195">
            <v>40508</v>
          </cell>
        </row>
        <row r="196">
          <cell r="BU196">
            <v>40515</v>
          </cell>
          <cell r="EL196">
            <v>40515</v>
          </cell>
        </row>
        <row r="197">
          <cell r="BU197">
            <v>40522</v>
          </cell>
          <cell r="EL197">
            <v>40522</v>
          </cell>
        </row>
        <row r="198">
          <cell r="BU198">
            <v>40529</v>
          </cell>
          <cell r="EL198">
            <v>40529</v>
          </cell>
        </row>
        <row r="199">
          <cell r="BU199">
            <v>40535</v>
          </cell>
          <cell r="EL199">
            <v>40535</v>
          </cell>
        </row>
        <row r="200">
          <cell r="BU200">
            <v>40542</v>
          </cell>
          <cell r="EL200">
            <v>40542</v>
          </cell>
        </row>
        <row r="201">
          <cell r="BU201">
            <v>40550</v>
          </cell>
          <cell r="EL201">
            <v>40550</v>
          </cell>
        </row>
        <row r="202">
          <cell r="BU202">
            <v>40557</v>
          </cell>
          <cell r="EL202">
            <v>40557</v>
          </cell>
        </row>
        <row r="203">
          <cell r="BU203">
            <v>40564</v>
          </cell>
          <cell r="EL203">
            <v>40564</v>
          </cell>
        </row>
        <row r="204">
          <cell r="BU204">
            <v>40571</v>
          </cell>
          <cell r="EL204">
            <v>40571</v>
          </cell>
        </row>
        <row r="205">
          <cell r="BU205">
            <v>40578</v>
          </cell>
          <cell r="EL205">
            <v>40578</v>
          </cell>
        </row>
        <row r="206">
          <cell r="BU206">
            <v>40585</v>
          </cell>
          <cell r="EL206">
            <v>40585</v>
          </cell>
        </row>
        <row r="207">
          <cell r="BU207">
            <v>40592</v>
          </cell>
          <cell r="EL207">
            <v>40592</v>
          </cell>
        </row>
        <row r="208">
          <cell r="BU208">
            <v>40599</v>
          </cell>
          <cell r="EL208">
            <v>40599</v>
          </cell>
        </row>
        <row r="209">
          <cell r="BU209">
            <v>40606</v>
          </cell>
          <cell r="EL209">
            <v>40606</v>
          </cell>
        </row>
        <row r="210">
          <cell r="BU210">
            <v>40613</v>
          </cell>
          <cell r="EL210">
            <v>40613</v>
          </cell>
        </row>
        <row r="211">
          <cell r="BU211">
            <v>40620</v>
          </cell>
          <cell r="EL211">
            <v>40620</v>
          </cell>
        </row>
        <row r="212">
          <cell r="BU212">
            <v>40627</v>
          </cell>
          <cell r="EL212">
            <v>40627</v>
          </cell>
        </row>
        <row r="213">
          <cell r="BU213">
            <v>40634</v>
          </cell>
          <cell r="EL213">
            <v>40634</v>
          </cell>
        </row>
        <row r="214">
          <cell r="BU214">
            <v>40641</v>
          </cell>
          <cell r="EL214">
            <v>40641</v>
          </cell>
        </row>
        <row r="215">
          <cell r="BU215">
            <v>40648</v>
          </cell>
          <cell r="EL215">
            <v>40648</v>
          </cell>
        </row>
        <row r="216">
          <cell r="BU216">
            <v>40654</v>
          </cell>
          <cell r="EL216">
            <v>40654</v>
          </cell>
        </row>
        <row r="217">
          <cell r="BU217">
            <v>40662</v>
          </cell>
          <cell r="EL217">
            <v>40662</v>
          </cell>
        </row>
        <row r="218">
          <cell r="BU218">
            <v>40669</v>
          </cell>
          <cell r="EL218">
            <v>40669</v>
          </cell>
        </row>
        <row r="219">
          <cell r="BU219">
            <v>40676</v>
          </cell>
          <cell r="EL219">
            <v>40676</v>
          </cell>
        </row>
        <row r="220">
          <cell r="BU220">
            <v>40683</v>
          </cell>
          <cell r="EL220">
            <v>40683</v>
          </cell>
        </row>
        <row r="221">
          <cell r="BU221">
            <v>40690</v>
          </cell>
          <cell r="EL221">
            <v>40690</v>
          </cell>
        </row>
        <row r="222">
          <cell r="BU222">
            <v>40697</v>
          </cell>
          <cell r="EL222">
            <v>40697</v>
          </cell>
        </row>
        <row r="223">
          <cell r="BU223">
            <v>40704</v>
          </cell>
          <cell r="EL223">
            <v>40704</v>
          </cell>
        </row>
        <row r="224">
          <cell r="BU224">
            <v>40711</v>
          </cell>
          <cell r="EL224">
            <v>40711</v>
          </cell>
        </row>
        <row r="225">
          <cell r="BU225">
            <v>40717</v>
          </cell>
          <cell r="EL225">
            <v>40717</v>
          </cell>
        </row>
        <row r="226">
          <cell r="BU226">
            <v>40725</v>
          </cell>
          <cell r="EL226">
            <v>40725</v>
          </cell>
        </row>
        <row r="227">
          <cell r="BU227">
            <v>40732</v>
          </cell>
          <cell r="EL227">
            <v>40732</v>
          </cell>
        </row>
        <row r="228">
          <cell r="BU228">
            <v>40739</v>
          </cell>
          <cell r="EL228">
            <v>40739</v>
          </cell>
        </row>
        <row r="229">
          <cell r="BU229">
            <v>40746</v>
          </cell>
          <cell r="EL229">
            <v>40746</v>
          </cell>
        </row>
        <row r="230">
          <cell r="BU230">
            <v>40753</v>
          </cell>
          <cell r="EL230">
            <v>40753</v>
          </cell>
        </row>
        <row r="231">
          <cell r="BU231">
            <v>40760</v>
          </cell>
          <cell r="EL231">
            <v>40760</v>
          </cell>
        </row>
        <row r="232">
          <cell r="BU232">
            <v>40767</v>
          </cell>
          <cell r="EL232">
            <v>40767</v>
          </cell>
        </row>
        <row r="233">
          <cell r="BU233">
            <v>40774</v>
          </cell>
          <cell r="EL233">
            <v>40774</v>
          </cell>
        </row>
        <row r="234">
          <cell r="BU234">
            <v>40781</v>
          </cell>
          <cell r="EL234">
            <v>40781</v>
          </cell>
        </row>
        <row r="235">
          <cell r="BU235">
            <v>40788</v>
          </cell>
          <cell r="EL235">
            <v>40788</v>
          </cell>
        </row>
        <row r="236">
          <cell r="BU236">
            <v>40795</v>
          </cell>
          <cell r="EL236">
            <v>40795</v>
          </cell>
        </row>
        <row r="237">
          <cell r="BU237">
            <v>40802</v>
          </cell>
          <cell r="EL237">
            <v>40802</v>
          </cell>
        </row>
        <row r="238">
          <cell r="BU238">
            <v>40809</v>
          </cell>
          <cell r="EL238">
            <v>40809</v>
          </cell>
        </row>
        <row r="239">
          <cell r="BU239">
            <v>40816</v>
          </cell>
          <cell r="EL239">
            <v>40816</v>
          </cell>
        </row>
        <row r="240">
          <cell r="BU240">
            <v>40823</v>
          </cell>
          <cell r="EL240">
            <v>40823</v>
          </cell>
        </row>
        <row r="241">
          <cell r="BU241">
            <v>40830</v>
          </cell>
          <cell r="EL241">
            <v>40830</v>
          </cell>
        </row>
        <row r="242">
          <cell r="BU242">
            <v>40837</v>
          </cell>
          <cell r="EL242">
            <v>40837</v>
          </cell>
        </row>
        <row r="243">
          <cell r="BU243">
            <v>40844</v>
          </cell>
          <cell r="EL243">
            <v>40844</v>
          </cell>
        </row>
        <row r="244">
          <cell r="BU244">
            <v>40851</v>
          </cell>
          <cell r="EL244">
            <v>40851</v>
          </cell>
        </row>
        <row r="245">
          <cell r="BU245">
            <v>40858</v>
          </cell>
          <cell r="EL245">
            <v>40858</v>
          </cell>
        </row>
        <row r="246">
          <cell r="BU246">
            <v>40865</v>
          </cell>
          <cell r="EL246">
            <v>40865</v>
          </cell>
        </row>
        <row r="247">
          <cell r="BU247">
            <v>40872</v>
          </cell>
          <cell r="EL247">
            <v>40872</v>
          </cell>
        </row>
        <row r="248">
          <cell r="BU248">
            <v>40879</v>
          </cell>
          <cell r="EL248">
            <v>40879</v>
          </cell>
        </row>
        <row r="249">
          <cell r="BU249">
            <v>40886</v>
          </cell>
          <cell r="EL249">
            <v>40886</v>
          </cell>
        </row>
        <row r="250">
          <cell r="BU250">
            <v>40893</v>
          </cell>
          <cell r="EL250">
            <v>40893</v>
          </cell>
        </row>
        <row r="251">
          <cell r="BU251">
            <v>40900</v>
          </cell>
          <cell r="EL251">
            <v>40900</v>
          </cell>
        </row>
        <row r="252">
          <cell r="BU252">
            <v>40907</v>
          </cell>
          <cell r="EL252">
            <v>40907</v>
          </cell>
        </row>
        <row r="253">
          <cell r="BU253">
            <v>40913</v>
          </cell>
          <cell r="EL253">
            <v>40913</v>
          </cell>
        </row>
        <row r="254">
          <cell r="BU254">
            <v>40921</v>
          </cell>
          <cell r="EL254">
            <v>40921</v>
          </cell>
        </row>
        <row r="255">
          <cell r="BU255">
            <v>40928</v>
          </cell>
          <cell r="EL255">
            <v>40928</v>
          </cell>
        </row>
        <row r="256">
          <cell r="BU256">
            <v>40935</v>
          </cell>
          <cell r="EL256">
            <v>40935</v>
          </cell>
        </row>
        <row r="257">
          <cell r="BU257">
            <v>40942</v>
          </cell>
          <cell r="EL257">
            <v>40942</v>
          </cell>
        </row>
        <row r="258">
          <cell r="BU258">
            <v>40949</v>
          </cell>
          <cell r="EL258">
            <v>40949</v>
          </cell>
        </row>
        <row r="259">
          <cell r="BU259">
            <v>40956</v>
          </cell>
          <cell r="EL259">
            <v>40956</v>
          </cell>
        </row>
        <row r="260">
          <cell r="BU260">
            <v>40963</v>
          </cell>
          <cell r="EL260">
            <v>40963</v>
          </cell>
        </row>
        <row r="261">
          <cell r="BU261">
            <v>40970</v>
          </cell>
          <cell r="EL261">
            <v>40970</v>
          </cell>
        </row>
        <row r="262">
          <cell r="BU262">
            <v>40977</v>
          </cell>
          <cell r="EL262">
            <v>40977</v>
          </cell>
        </row>
        <row r="263">
          <cell r="BU263">
            <v>40984</v>
          </cell>
          <cell r="EL263">
            <v>40984</v>
          </cell>
        </row>
        <row r="264">
          <cell r="BU264">
            <v>40991</v>
          </cell>
          <cell r="EL264">
            <v>40991</v>
          </cell>
        </row>
        <row r="265">
          <cell r="BU265">
            <v>40998</v>
          </cell>
          <cell r="EL265">
            <v>40998</v>
          </cell>
        </row>
        <row r="266">
          <cell r="BU266">
            <v>41004</v>
          </cell>
          <cell r="EL266">
            <v>41004</v>
          </cell>
        </row>
        <row r="267">
          <cell r="BU267">
            <v>41012</v>
          </cell>
          <cell r="EL267">
            <v>41012</v>
          </cell>
        </row>
        <row r="268">
          <cell r="BU268">
            <v>41019</v>
          </cell>
          <cell r="EL268">
            <v>41019</v>
          </cell>
        </row>
        <row r="269">
          <cell r="BU269">
            <v>41026</v>
          </cell>
          <cell r="EL269">
            <v>41026</v>
          </cell>
        </row>
      </sheetData>
      <sheetData sheetId="16"/>
      <sheetData sheetId="17"/>
      <sheetData sheetId="18"/>
      <sheetData sheetId="19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_CIQHiddenCacheSheet"/>
      <sheetName val="Start Page"/>
      <sheetName val="Page One"/>
      <sheetName val="Financials CIQ"/>
      <sheetName val="Consensus"/>
      <sheetName val="Revision"/>
      <sheetName val="VAVP"/>
      <sheetName val="Comp Valuation"/>
      <sheetName val="Group Charts"/>
      <sheetName val="Financials"/>
      <sheetName val="Surprise"/>
      <sheetName val="Share Details"/>
      <sheetName val="FQ Result"/>
      <sheetName val="Segments Data"/>
      <sheetName val="Segment Chart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61">
          <cell r="BM61">
            <v>0</v>
          </cell>
        </row>
        <row r="62">
          <cell r="BM62">
            <v>0</v>
          </cell>
        </row>
        <row r="63">
          <cell r="BM63">
            <v>0</v>
          </cell>
        </row>
        <row r="64">
          <cell r="BM64">
            <v>0</v>
          </cell>
        </row>
        <row r="65">
          <cell r="BM65">
            <v>0</v>
          </cell>
        </row>
        <row r="66">
          <cell r="BM66">
            <v>0</v>
          </cell>
        </row>
        <row r="67">
          <cell r="BM67">
            <v>0</v>
          </cell>
        </row>
        <row r="68">
          <cell r="BM68">
            <v>0</v>
          </cell>
        </row>
        <row r="69">
          <cell r="BM69">
            <v>0</v>
          </cell>
        </row>
        <row r="70">
          <cell r="BM70">
            <v>0</v>
          </cell>
        </row>
        <row r="71">
          <cell r="BM71">
            <v>0</v>
          </cell>
        </row>
        <row r="72">
          <cell r="BM72">
            <v>0</v>
          </cell>
        </row>
        <row r="73">
          <cell r="BM73">
            <v>0</v>
          </cell>
        </row>
        <row r="74">
          <cell r="BM74">
            <v>0</v>
          </cell>
        </row>
        <row r="75">
          <cell r="BM75">
            <v>0</v>
          </cell>
        </row>
        <row r="76">
          <cell r="BM76">
            <v>0</v>
          </cell>
        </row>
        <row r="77">
          <cell r="BM77">
            <v>0</v>
          </cell>
        </row>
        <row r="78">
          <cell r="BM78">
            <v>0</v>
          </cell>
        </row>
        <row r="79">
          <cell r="BM79">
            <v>0</v>
          </cell>
        </row>
        <row r="80">
          <cell r="BM80">
            <v>0</v>
          </cell>
        </row>
        <row r="81">
          <cell r="BM81">
            <v>0</v>
          </cell>
        </row>
        <row r="82">
          <cell r="BM82">
            <v>0</v>
          </cell>
        </row>
        <row r="83">
          <cell r="BM83">
            <v>0</v>
          </cell>
        </row>
        <row r="84">
          <cell r="BM84">
            <v>0</v>
          </cell>
        </row>
        <row r="85">
          <cell r="BM85">
            <v>0</v>
          </cell>
        </row>
        <row r="86">
          <cell r="BM86">
            <v>0</v>
          </cell>
        </row>
        <row r="87">
          <cell r="BM87">
            <v>0</v>
          </cell>
        </row>
        <row r="88">
          <cell r="BM88">
            <v>0</v>
          </cell>
        </row>
        <row r="89">
          <cell r="BM89">
            <v>0</v>
          </cell>
        </row>
        <row r="90">
          <cell r="BM90">
            <v>0</v>
          </cell>
        </row>
        <row r="91">
          <cell r="BM91">
            <v>0</v>
          </cell>
        </row>
        <row r="92">
          <cell r="BM92">
            <v>0</v>
          </cell>
        </row>
        <row r="93">
          <cell r="BM93">
            <v>0</v>
          </cell>
        </row>
        <row r="94">
          <cell r="BM94">
            <v>0</v>
          </cell>
        </row>
        <row r="95">
          <cell r="BM95">
            <v>0</v>
          </cell>
        </row>
        <row r="96">
          <cell r="BM96">
            <v>0</v>
          </cell>
        </row>
        <row r="97">
          <cell r="BM97">
            <v>0</v>
          </cell>
        </row>
        <row r="98">
          <cell r="BM98">
            <v>0</v>
          </cell>
        </row>
        <row r="99">
          <cell r="BM99">
            <v>0</v>
          </cell>
        </row>
        <row r="100">
          <cell r="BM100">
            <v>0</v>
          </cell>
        </row>
        <row r="101">
          <cell r="BM101">
            <v>0</v>
          </cell>
        </row>
        <row r="102">
          <cell r="BM102">
            <v>0</v>
          </cell>
        </row>
        <row r="103">
          <cell r="BM103">
            <v>0</v>
          </cell>
        </row>
        <row r="104">
          <cell r="BM104">
            <v>0</v>
          </cell>
        </row>
        <row r="105">
          <cell r="BM105">
            <v>0</v>
          </cell>
        </row>
        <row r="106">
          <cell r="BM106">
            <v>0</v>
          </cell>
        </row>
        <row r="107">
          <cell r="BM107">
            <v>0</v>
          </cell>
        </row>
        <row r="108">
          <cell r="BM108">
            <v>0</v>
          </cell>
        </row>
        <row r="109">
          <cell r="BM109">
            <v>0</v>
          </cell>
        </row>
        <row r="110">
          <cell r="BM110">
            <v>0</v>
          </cell>
        </row>
        <row r="111">
          <cell r="BM111">
            <v>0</v>
          </cell>
        </row>
        <row r="112">
          <cell r="BM112">
            <v>0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Current A&amp;M Theme">
  <a:themeElements>
    <a:clrScheme name="AM Pitchbook template USL">
      <a:dk1>
        <a:srgbClr val="767171"/>
      </a:dk1>
      <a:lt1>
        <a:sysClr val="window" lastClr="FFFFFF"/>
      </a:lt1>
      <a:dk2>
        <a:srgbClr val="969696"/>
      </a:dk2>
      <a:lt2>
        <a:srgbClr val="CF7F00"/>
      </a:lt2>
      <a:accent1>
        <a:srgbClr val="002B49"/>
      </a:accent1>
      <a:accent2>
        <a:srgbClr val="0085CA"/>
      </a:accent2>
      <a:accent3>
        <a:srgbClr val="5E8AB4"/>
      </a:accent3>
      <a:accent4>
        <a:srgbClr val="29702A"/>
      </a:accent4>
      <a:accent5>
        <a:srgbClr val="00677F"/>
      </a:accent5>
      <a:accent6>
        <a:srgbClr val="51195D"/>
      </a:accent6>
      <a:hlink>
        <a:srgbClr val="CF7F00"/>
      </a:hlink>
      <a:folHlink>
        <a:srgbClr val="51195D"/>
      </a:folHlink>
    </a:clrScheme>
    <a:fontScheme name="Arial_Arial">
      <a:majorFont>
        <a:latin typeface="Arial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3"/>
        </a:solidFill>
        <a:ln>
          <a:noFill/>
        </a:ln>
      </a:spPr>
      <a:bodyPr rot="0" spcFirstLastPara="0" vertOverflow="overflow" horzOverflow="overflow" vert="horz" wrap="square" lIns="54000" tIns="54000" rIns="54000" bIns="54000" numCol="1" spcCol="0" rtlCol="0" fromWordArt="0" anchor="ctr" anchorCtr="0" forceAA="0" compatLnSpc="1">
        <a:prstTxWarp prst="textNoShape">
          <a:avLst/>
        </a:prstTxWarp>
        <a:noAutofit/>
      </a:bodyPr>
      <a:lstStyle>
        <a:defPPr marL="1588" algn="ctr">
          <a:spcAft>
            <a:spcPts val="400"/>
          </a:spcAft>
          <a:defRPr sz="1000" dirty="0">
            <a:solidFill>
              <a:schemeClr val="bg1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rtlCol="0">
        <a:spAutoFit/>
      </a:bodyPr>
      <a:lstStyle>
        <a:defPPr>
          <a:defRPr dirty="0" err="1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AM Report Template_US.potx" id="{95B55700-C53D-4EF8-A666-91B4E8AD094B}" vid="{76416690-18C5-4999-BD57-F5C0A6F130AF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1DC1F-9F60-4D1D-80CD-160154D8DE75}">
  <dimension ref="A1:N1"/>
  <sheetViews>
    <sheetView workbookViewId="0"/>
  </sheetViews>
  <sheetFormatPr defaultRowHeight="14.25" x14ac:dyDescent="0.2"/>
  <sheetData>
    <row r="1" spans="1:14" x14ac:dyDescent="0.2">
      <c r="A1">
        <v>14</v>
      </c>
      <c r="B1" t="s">
        <v>49</v>
      </c>
      <c r="C1" t="s">
        <v>50</v>
      </c>
      <c r="D1" t="s">
        <v>51</v>
      </c>
      <c r="E1" t="s">
        <v>52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801F1-2221-4DA7-B0FC-DEFA9573F542}">
  <sheetPr codeName="Sheet1"/>
  <dimension ref="A25:H66"/>
  <sheetViews>
    <sheetView tabSelected="1" zoomScaleNormal="100" workbookViewId="0">
      <selection activeCell="A13" sqref="A13"/>
    </sheetView>
  </sheetViews>
  <sheetFormatPr defaultRowHeight="14.25" x14ac:dyDescent="0.2"/>
  <cols>
    <col min="1" max="1" width="22.125" customWidth="1"/>
    <col min="2" max="2" width="28" customWidth="1"/>
    <col min="3" max="3" width="26.875" customWidth="1"/>
    <col min="4" max="4" width="24.125" customWidth="1"/>
    <col min="5" max="5" width="29.25" customWidth="1"/>
    <col min="6" max="6" width="23.5" customWidth="1"/>
    <col min="7" max="7" width="25" customWidth="1"/>
    <col min="8" max="8" width="22.125" customWidth="1"/>
    <col min="9" max="9" width="22.875" customWidth="1"/>
  </cols>
  <sheetData>
    <row r="25" spans="1:8" x14ac:dyDescent="0.2">
      <c r="A25" s="4" t="s">
        <v>2</v>
      </c>
      <c r="B25" s="6" t="s">
        <v>48</v>
      </c>
      <c r="C25" s="5" t="str" cm="1">
        <f t="array" ref="C25">_xll.ciqfunctions.udf.CIQ(B25,"IQ_COMPANY_TICKER")</f>
        <v>NYSE:WMT</v>
      </c>
      <c r="D25" s="11" t="s">
        <v>6</v>
      </c>
      <c r="E25" s="12" t="s">
        <v>21</v>
      </c>
      <c r="F25" s="11" t="s">
        <v>22</v>
      </c>
      <c r="G25" s="12" t="s">
        <v>23</v>
      </c>
      <c r="H25" s="11" t="s">
        <v>24</v>
      </c>
    </row>
    <row r="26" spans="1:8" x14ac:dyDescent="0.2">
      <c r="A26" s="4" t="s">
        <v>1</v>
      </c>
      <c r="B26" s="6"/>
      <c r="C26" s="5" t="str">
        <f>C25</f>
        <v>NYSE:WMT</v>
      </c>
      <c r="D26" s="9" t="str" cm="1">
        <f t="array" ref="D26">_xll.ciqfunctions.udf.CIQ($B$25, "IQ_COMPANY_NAME")</f>
        <v>Walmart Inc.</v>
      </c>
      <c r="E26" s="14" cm="1">
        <f t="array" ref="E26">_xll.ciqfunctions.udf.CIQ($B$25, "IQ_MARKETCAP")</f>
        <v>390615.11833999999</v>
      </c>
      <c r="F26" s="15" cm="1">
        <f t="array" ref="F26">_xll.ciqfunctions.udf.CIQ($B$25, "IQ_TOTAL_REV")</f>
        <v>572754</v>
      </c>
      <c r="G26" s="14" cm="1">
        <f t="array" ref="G26">_xll.ciqfunctions.udf.CIQ($B$25, "IQ_NI")</f>
        <v>13673</v>
      </c>
      <c r="H26" s="10" cm="1">
        <f t="array" ref="H26">_xll.ciqfunctions.udf.CIQ($B$25, "IQ_EMPLOYEES")</f>
        <v>2300000</v>
      </c>
    </row>
    <row r="27" spans="1:8" x14ac:dyDescent="0.2">
      <c r="A27" s="4" t="s">
        <v>3</v>
      </c>
      <c r="B27" s="6" t="str">
        <f>_xll.ciqfunctions.udf.CIQ($B$25, "IQ_FILING_CURRENCY")</f>
        <v>USD</v>
      </c>
      <c r="C27" s="5"/>
      <c r="D27" s="9"/>
      <c r="E27" s="13"/>
      <c r="F27" s="9"/>
      <c r="G27" s="13"/>
      <c r="H27" s="9"/>
    </row>
    <row r="28" spans="1:8" x14ac:dyDescent="0.2">
      <c r="A28" s="4" t="s">
        <v>4</v>
      </c>
      <c r="B28" s="6" t="str">
        <f>_xll.ciqfunctions.udf.CIQ($B$25, "IQ_TRADING_CURRENCY")</f>
        <v>USD</v>
      </c>
      <c r="C28" s="5"/>
      <c r="D28" s="9"/>
      <c r="E28" s="13"/>
      <c r="F28" s="9"/>
      <c r="G28" s="13"/>
      <c r="H28" s="9"/>
    </row>
    <row r="29" spans="1:8" x14ac:dyDescent="0.2">
      <c r="A29" s="4" t="s">
        <v>5</v>
      </c>
      <c r="B29" s="7" cm="1">
        <f t="array" ref="B29">_xll.ciqfunctions.udf.CIQGETDATE(IQ_TODAY)</f>
        <v>44644</v>
      </c>
      <c r="C29" s="5"/>
      <c r="D29" s="9"/>
      <c r="E29" s="13"/>
      <c r="F29" s="9"/>
      <c r="G29" s="13"/>
      <c r="H29" s="9"/>
    </row>
    <row r="30" spans="1:8" x14ac:dyDescent="0.2">
      <c r="A30" s="4" t="s">
        <v>6</v>
      </c>
      <c r="B30" s="6" t="str">
        <f>D26</f>
        <v>Walmart Inc.</v>
      </c>
      <c r="C30" s="5"/>
      <c r="D30" s="9"/>
      <c r="E30" s="13"/>
      <c r="F30" s="9"/>
      <c r="G30" s="13"/>
      <c r="H30" s="9"/>
    </row>
    <row r="31" spans="1:8" x14ac:dyDescent="0.2">
      <c r="A31" s="4" t="s">
        <v>7</v>
      </c>
      <c r="B31" s="6" t="str">
        <f>_xll.ciqfunctions.udf.CIQ($B$25, "IQ_INDUSTRY_SECTOR")</f>
        <v>Consumer Staples</v>
      </c>
      <c r="C31" s="5"/>
      <c r="D31" s="9"/>
      <c r="E31" s="13"/>
      <c r="F31" s="9"/>
      <c r="G31" s="13"/>
      <c r="H31" s="9"/>
    </row>
    <row r="32" spans="1:8" x14ac:dyDescent="0.2">
      <c r="A32" s="4" t="s">
        <v>8</v>
      </c>
      <c r="B32" s="6" t="str">
        <f>_xll.ciqfunctions.udf.CIQ($B$25, "IQ_PRIMARY_INDUSTRY")</f>
        <v>Hypermarkets and Super Centers</v>
      </c>
      <c r="C32" s="5"/>
      <c r="D32" s="9"/>
      <c r="E32" s="13"/>
      <c r="F32" s="9"/>
      <c r="G32" s="13"/>
      <c r="H32" s="9"/>
    </row>
    <row r="33" spans="1:8" x14ac:dyDescent="0.2">
      <c r="A33" s="4" t="s">
        <v>9</v>
      </c>
      <c r="B33" s="6" t="str">
        <f>_xll.ciqfunctions.udf.CIQ($B$25, "IQ_COUNTRY_NAME")</f>
        <v>United States</v>
      </c>
      <c r="C33" s="5"/>
      <c r="D33" s="9"/>
      <c r="E33" s="13"/>
      <c r="F33" s="9"/>
      <c r="G33" s="13"/>
      <c r="H33" s="9"/>
    </row>
    <row r="34" spans="1:8" x14ac:dyDescent="0.2">
      <c r="A34" s="4" t="s">
        <v>10</v>
      </c>
      <c r="B34" s="8">
        <v>10</v>
      </c>
      <c r="C34" s="5"/>
      <c r="D34" s="9"/>
      <c r="E34" s="13"/>
      <c r="F34" s="9"/>
      <c r="G34" s="13"/>
      <c r="H34" s="9"/>
    </row>
    <row r="35" spans="1:8" x14ac:dyDescent="0.2">
      <c r="A35" s="4" t="s">
        <v>11</v>
      </c>
      <c r="B35" s="8">
        <v>1</v>
      </c>
      <c r="C35" s="5" t="str" cm="1">
        <f t="array" ref="C35">_xll.ciqfunctions.udf.CIQ($B$25, "IQ_QUICK_COMP", 1)</f>
        <v>NasdaqGS:COST</v>
      </c>
      <c r="D35" s="9" t="str" cm="1">
        <f t="array" ref="D35">_xll.ciqfunctions.udf.CIQ($C35, "IQ_COMPANY_NAME")</f>
        <v>Costco Wholesale Corporation</v>
      </c>
      <c r="E35" s="14" cm="1">
        <f t="array" ref="E35">_xll.ciqfunctions.udf.CIQ($C35, "IQ_MARKETCAP")</f>
        <v>245555.12114999999</v>
      </c>
      <c r="F35" s="15" cm="1">
        <f t="array" ref="F35">_xll.ciqfunctions.udf.CIQ($C35, "IQ_TOTAL_REV")</f>
        <v>210219</v>
      </c>
      <c r="G35" s="14" cm="1">
        <f t="array" ref="G35">_xll.ciqfunctions.udf.CIQ($C35, "IQ_NI")</f>
        <v>5513</v>
      </c>
      <c r="H35" s="10" cm="1">
        <f t="array" ref="H35">_xll.ciqfunctions.udf.CIQ($C35, "IQ_EMPLOYEES")</f>
        <v>288000</v>
      </c>
    </row>
    <row r="36" spans="1:8" x14ac:dyDescent="0.2">
      <c r="A36" s="4" t="s">
        <v>12</v>
      </c>
      <c r="B36" s="8">
        <v>2</v>
      </c>
      <c r="C36" s="5" t="str" cm="1">
        <f t="array" ref="C36">_xll.ciqfunctions.udf.CIQ($B$25, "IQ_QUICK_COMP", 2)</f>
        <v>NYSE:TGT</v>
      </c>
      <c r="D36" s="9" t="str" cm="1">
        <f t="array" ref="D36">_xll.ciqfunctions.udf.CIQ($C36, "IQ_COMPANY_NAME")</f>
        <v>Target Corporation</v>
      </c>
      <c r="E36" s="14" cm="1">
        <f t="array" ref="E36">_xll.ciqfunctions.udf.CIQ($C36, "IQ_MARKETCAP")</f>
        <v>100215.24520999999</v>
      </c>
      <c r="F36" s="15" cm="1">
        <f t="array" ref="F36">_xll.ciqfunctions.udf.CIQ($C36, "IQ_TOTAL_REV")</f>
        <v>106005</v>
      </c>
      <c r="G36" s="14" cm="1">
        <f t="array" ref="G36">_xll.ciqfunctions.udf.CIQ($C36, "IQ_NI")</f>
        <v>6946</v>
      </c>
      <c r="H36" s="10" cm="1">
        <f t="array" ref="H36">_xll.ciqfunctions.udf.CIQ($C36, "IQ_EMPLOYEES")</f>
        <v>450000</v>
      </c>
    </row>
    <row r="37" spans="1:8" x14ac:dyDescent="0.2">
      <c r="A37" s="4" t="s">
        <v>13</v>
      </c>
      <c r="B37" s="8">
        <v>3</v>
      </c>
      <c r="C37" s="5" t="str" cm="1">
        <f t="array" ref="C37">_xll.ciqfunctions.udf.CIQ($B$25, "IQ_QUICK_COMP", 3)</f>
        <v>NYSE:BJ</v>
      </c>
      <c r="D37" s="9" t="str" cm="1">
        <f t="array" ref="D37">_xll.ciqfunctions.udf.CIQ($C37, "IQ_COMPANY_NAME")</f>
        <v>BJ's Wholesale Club Holdings, Inc.</v>
      </c>
      <c r="E37" s="14" cm="1">
        <f t="array" ref="E37">_xll.ciqfunctions.udf.CIQ($C37, "IQ_MARKETCAP")</f>
        <v>8677.4687900000008</v>
      </c>
      <c r="F37" s="15" cm="1">
        <f t="array" ref="F37">_xll.ciqfunctions.udf.CIQ($C37, "IQ_TOTAL_REV")</f>
        <v>16667.302</v>
      </c>
      <c r="G37" s="14" cm="1">
        <f t="array" ref="G37">_xll.ciqfunctions.udf.CIQ($C37, "IQ_NI")</f>
        <v>426.65199999999999</v>
      </c>
      <c r="H37" s="10" cm="1">
        <f t="array" ref="H37">_xll.ciqfunctions.udf.CIQ($C37, "IQ_EMPLOYEES")</f>
        <v>34000</v>
      </c>
    </row>
    <row r="38" spans="1:8" x14ac:dyDescent="0.2">
      <c r="A38" s="4" t="s">
        <v>14</v>
      </c>
      <c r="B38" s="8">
        <v>4</v>
      </c>
      <c r="C38" s="5" t="str" cm="1">
        <f t="array" ref="C38">_xll.ciqfunctions.udf.CIQ($B$25, "IQ_QUICK_COMP", 4)</f>
        <v>NYSE:KR</v>
      </c>
      <c r="D38" s="9" t="str" cm="1">
        <f t="array" ref="D38">_xll.ciqfunctions.udf.CIQ($C38, "IQ_COMPANY_NAME")</f>
        <v>The Kroger Co.</v>
      </c>
      <c r="E38" s="14" cm="1">
        <f t="array" ref="E38">_xll.ciqfunctions.udf.CIQ($C38, "IQ_MARKETCAP")</f>
        <v>40982.699999999997</v>
      </c>
      <c r="F38" s="15" cm="1">
        <f t="array" ref="F38">_xll.ciqfunctions.udf.CIQ($C38, "IQ_TOTAL_REV")</f>
        <v>137888</v>
      </c>
      <c r="G38" s="14" cm="1">
        <f t="array" ref="G38">_xll.ciqfunctions.udf.CIQ($C38, "IQ_NI")</f>
        <v>1655</v>
      </c>
      <c r="H38" s="10" cm="1">
        <f t="array" ref="H38">_xll.ciqfunctions.udf.CIQ($C38, "IQ_EMPLOYEES")</f>
        <v>500000</v>
      </c>
    </row>
    <row r="39" spans="1:8" x14ac:dyDescent="0.2">
      <c r="A39" s="4" t="s">
        <v>15</v>
      </c>
      <c r="B39" s="8">
        <v>5</v>
      </c>
      <c r="C39" s="5" t="str" cm="1">
        <f t="array" ref="C39">_xll.ciqfunctions.udf.CIQ($B$25, "IQ_QUICK_COMP",5)</f>
        <v>NYSE:BBY</v>
      </c>
      <c r="D39" s="9" t="str" cm="1">
        <f t="array" ref="D39">_xll.ciqfunctions.udf.CIQ($C39, "IQ_COMPANY_NAME")</f>
        <v>Best Buy Co., Inc.</v>
      </c>
      <c r="E39" s="14" cm="1">
        <f t="array" ref="E39">_xll.ciqfunctions.udf.CIQ($C39, "IQ_MARKETCAP")</f>
        <v>21754.748950000001</v>
      </c>
      <c r="F39" s="15" cm="1">
        <f t="array" ref="F39">_xll.ciqfunctions.udf.CIQ($C39, "IQ_TOTAL_REV")</f>
        <v>51761</v>
      </c>
      <c r="G39" s="14" cm="1">
        <f t="array" ref="G39">_xll.ciqfunctions.udf.CIQ($C39, "IQ_NI")</f>
        <v>2454</v>
      </c>
      <c r="H39" s="10" cm="1">
        <f t="array" ref="H39">_xll.ciqfunctions.udf.CIQ($C39, "IQ_EMPLOYEES")</f>
        <v>76125</v>
      </c>
    </row>
    <row r="40" spans="1:8" x14ac:dyDescent="0.2">
      <c r="A40" s="4" t="s">
        <v>16</v>
      </c>
      <c r="B40" s="8">
        <v>6</v>
      </c>
      <c r="C40" s="5" t="str" cm="1">
        <f t="array" ref="C40">_xll.ciqfunctions.udf.CIQ($B$25, "IQ_QUICK_COMP", 6)</f>
        <v>NasdaqGS:PSMT</v>
      </c>
      <c r="D40" s="9" t="str" cm="1">
        <f t="array" ref="D40">_xll.ciqfunctions.udf.CIQ($C40, "IQ_COMPANY_NAME")</f>
        <v>PriceSmart, Inc.</v>
      </c>
      <c r="E40" s="14" cm="1">
        <f t="array" ref="E40">_xll.ciqfunctions.udf.CIQ($C40, "IQ_MARKETCAP")</f>
        <v>2370.04142</v>
      </c>
      <c r="F40" s="15" cm="1">
        <f t="array" ref="F40">_xll.ciqfunctions.udf.CIQ($C40, "IQ_TOTAL_REV")</f>
        <v>3717.7950000000001</v>
      </c>
      <c r="G40" s="14" cm="1">
        <f t="array" ref="G40">_xll.ciqfunctions.udf.CIQ($C40, "IQ_NI")</f>
        <v>100.73699999999999</v>
      </c>
      <c r="H40" s="10" cm="1">
        <f t="array" ref="H40">_xll.ciqfunctions.udf.CIQ($C40, "IQ_EMPLOYEES")</f>
        <v>10400</v>
      </c>
    </row>
    <row r="41" spans="1:8" x14ac:dyDescent="0.2">
      <c r="A41" s="4" t="s">
        <v>17</v>
      </c>
      <c r="B41" s="8">
        <v>7</v>
      </c>
      <c r="C41" s="5" t="str" cm="1">
        <f t="array" ref="C41">_xll.ciqfunctions.udf.CIQ($B$25, "IQ_QUICK_COMP", 7)</f>
        <v>ENXTPA:CA</v>
      </c>
      <c r="D41" s="9" t="str" cm="1">
        <f t="array" ref="D41">_xll.ciqfunctions.udf.CIQ($C41, "IQ_COMPANY_NAME")</f>
        <v>Carrefour SA</v>
      </c>
      <c r="E41" s="14" cm="1">
        <f t="array" ref="E41">_xll.ciqfunctions.udf.CIQ($C41, "IQ_MARKETCAP")</f>
        <v>15838.882799999999</v>
      </c>
      <c r="F41" s="15" cm="1">
        <f t="array" ref="F41">_xll.ciqfunctions.udf.CIQ($C41, "IQ_TOTAL_REV")</f>
        <v>84248.834329999998</v>
      </c>
      <c r="G41" s="14" cm="1">
        <f t="array" ref="G41">_xll.ciqfunctions.udf.CIQ($C41, "IQ_NI")</f>
        <v>1219.1515999999999</v>
      </c>
      <c r="H41" s="10" cm="1">
        <f t="array" ref="H41">_xll.ciqfunctions.udf.CIQ($C41, "IQ_EMPLOYEES")</f>
        <v>319565</v>
      </c>
    </row>
    <row r="42" spans="1:8" x14ac:dyDescent="0.2">
      <c r="A42" s="4" t="s">
        <v>18</v>
      </c>
      <c r="B42" s="8">
        <v>8</v>
      </c>
      <c r="C42" s="5" t="str" cm="1">
        <f t="array" ref="C42">_xll.ciqfunctions.udf.CIQ($B$25, "IQ_QUICK_COMP", 8)</f>
        <v>LSE:OKEY</v>
      </c>
      <c r="D42" s="9" t="str" cm="1">
        <f t="array" ref="D42">_xll.ciqfunctions.udf.CIQ($C42, "IQ_COMPANY_NAME")</f>
        <v>O'Key Group S.A.</v>
      </c>
      <c r="E42" s="14" cm="1">
        <f t="array" ref="E42">_xll.ciqfunctions.udf.CIQ($C42, "IQ_MARKETCAP")</f>
        <v>160.3681</v>
      </c>
      <c r="F42" s="15" cm="1">
        <f t="array" ref="F42">_xll.ciqfunctions.udf.CIQ($C42, "IQ_TOTAL_REV")</f>
        <v>2433.56079</v>
      </c>
      <c r="G42" s="14" cm="1">
        <f t="array" ref="G42">_xll.ciqfunctions.udf.CIQ($C42, "IQ_NI")</f>
        <v>-5.3565699999999996</v>
      </c>
      <c r="H42" s="10" cm="1">
        <f t="array" ref="H42">_xll.ciqfunctions.udf.CIQ($C42, "IQ_EMPLOYEES")</f>
        <v>20000</v>
      </c>
    </row>
    <row r="43" spans="1:8" x14ac:dyDescent="0.2">
      <c r="A43" s="4" t="s">
        <v>19</v>
      </c>
      <c r="B43" s="8">
        <v>9</v>
      </c>
      <c r="C43" s="5" t="str" cm="1">
        <f t="array" ref="C43">_xll.ciqfunctions.udf.CIQ($B$25, "IQ_QUICK_COMP", 9)</f>
        <v>BMV:SORIANA B</v>
      </c>
      <c r="D43" s="9" t="str" cm="1">
        <f t="array" ref="D43">_xll.ciqfunctions.udf.CIQ($C43, "IQ_COMPANY_NAME")</f>
        <v>Organización Soriana, S. A. B. de C. V.</v>
      </c>
      <c r="E43" s="14" cm="1">
        <f t="array" ref="E43">_xll.ciqfunctions.udf.CIQ($C43, "IQ_MARKETCAP")</f>
        <v>1967.4520299999999</v>
      </c>
      <c r="F43" s="15" cm="1">
        <f t="array" ref="F43">_xll.ciqfunctions.udf.CIQ($C43, "IQ_TOTAL_REV")</f>
        <v>7572.7909</v>
      </c>
      <c r="G43" s="14" cm="1">
        <f t="array" ref="G43">_xll.ciqfunctions.udf.CIQ($C43, "IQ_NI")</f>
        <v>211.26313999999999</v>
      </c>
      <c r="H43" s="10" cm="1">
        <f t="array" ref="H43">_xll.ciqfunctions.udf.CIQ($C43, "IQ_EMPLOYEES")</f>
        <v>84914</v>
      </c>
    </row>
    <row r="44" spans="1:8" x14ac:dyDescent="0.2">
      <c r="A44" s="4" t="s">
        <v>20</v>
      </c>
      <c r="B44" s="8">
        <v>10</v>
      </c>
      <c r="C44" s="5" t="str" cm="1">
        <f t="array" ref="C44">_xll.ciqfunctions.udf.CIQ($B$25, "IQ_QUICK_COMP", 10)</f>
        <v>IDX:MPPA</v>
      </c>
      <c r="D44" s="9" t="str" cm="1">
        <f t="array" ref="D44">_xll.ciqfunctions.udf.CIQ($C44, "IQ_COMPANY_NAME")</f>
        <v>PT Matahari Putra Prima Tbk</v>
      </c>
      <c r="E44" s="14" cm="1">
        <f t="array" ref="E44">_xll.ciqfunctions.udf.CIQ($C44, "IQ_MARKETCAP")</f>
        <v>237.23090999999999</v>
      </c>
      <c r="F44" s="15" cm="1">
        <f t="array" ref="F44">_xll.ciqfunctions.udf.CIQ($C44, "IQ_TOTAL_REV")</f>
        <v>459.44765999999998</v>
      </c>
      <c r="G44" s="14" cm="1">
        <f t="array" ref="G44">_xll.ciqfunctions.udf.CIQ($C44, "IQ_NI")</f>
        <v>-17.17079</v>
      </c>
      <c r="H44" s="10" cm="1">
        <f t="array" ref="H44">_xll.ciqfunctions.udf.CIQ($C44, "IQ_EMPLOYEES")</f>
        <v>8320</v>
      </c>
    </row>
    <row r="46" spans="1:8" hidden="1" x14ac:dyDescent="0.2"/>
    <row r="47" spans="1:8" x14ac:dyDescent="0.2">
      <c r="A47" s="1" t="s">
        <v>1</v>
      </c>
      <c r="B47" s="2" t="s">
        <v>25</v>
      </c>
      <c r="C47" s="3" t="str" cm="1">
        <f t="array" ref="C47">_xll.ciqfunctions.udf.CIQ(B47,"IQ_COMPANY_NAME")</f>
        <v>Agilent Technologies, Inc.</v>
      </c>
      <c r="D47" s="16" cm="1">
        <f t="array" ref="D47">_xll.ciqfunctions.udf.CIQ(B47,"IQ_MARKETCAP")</f>
        <v>40269.212930000002</v>
      </c>
      <c r="E47" s="16" cm="1">
        <f t="array" ref="E47">_xll.ciqfunctions.udf.CIQ(B47,"IQ_TOTAL_REV")</f>
        <v>6445</v>
      </c>
      <c r="F47" s="16" cm="1">
        <f t="array" ref="F47">_xll.ciqfunctions.udf.CIQ(B47,"IQ_NI")</f>
        <v>1205</v>
      </c>
      <c r="G47" s="16" cm="1">
        <f t="array" ref="G47">_xll.ciqfunctions.udf.CIQ(B47,"IQ_EMPLOYEES")</f>
        <v>17200</v>
      </c>
    </row>
    <row r="48" spans="1:8" x14ac:dyDescent="0.2">
      <c r="C48" s="20"/>
      <c r="D48" s="20"/>
      <c r="E48" s="20"/>
    </row>
    <row r="49" spans="1:8" x14ac:dyDescent="0.2">
      <c r="A49" s="17" t="s">
        <v>1</v>
      </c>
      <c r="B49" s="18" t="s">
        <v>25</v>
      </c>
      <c r="C49" s="25" t="s">
        <v>39</v>
      </c>
      <c r="D49" s="26"/>
      <c r="E49" s="26"/>
      <c r="F49" s="28" t="s">
        <v>42</v>
      </c>
      <c r="G49" s="28"/>
      <c r="H49" s="28"/>
    </row>
    <row r="50" spans="1:8" x14ac:dyDescent="0.2">
      <c r="A50" s="17" t="s">
        <v>26</v>
      </c>
      <c r="B50" s="18" t="s">
        <v>47</v>
      </c>
      <c r="C50" s="21" t="s">
        <v>40</v>
      </c>
      <c r="D50" s="21" t="s">
        <v>41</v>
      </c>
      <c r="E50" s="21" t="s">
        <v>0</v>
      </c>
      <c r="F50" s="23" t="s">
        <v>40</v>
      </c>
      <c r="G50" s="23" t="s">
        <v>41</v>
      </c>
      <c r="H50" s="23" t="s">
        <v>0</v>
      </c>
    </row>
    <row r="51" spans="1:8" x14ac:dyDescent="0.2">
      <c r="A51" s="17" t="s">
        <v>33</v>
      </c>
      <c r="B51" s="19">
        <v>10</v>
      </c>
      <c r="C51" s="22">
        <f t="shared" ref="C51:C61" si="0">IF(C52=1,4,C52-1)</f>
        <v>1</v>
      </c>
      <c r="D51" s="22">
        <f t="shared" ref="D51:D61" si="1">IF($B$50="Quarters",IF(C51=4,D52-1,D52),D52-1)</f>
        <v>2020</v>
      </c>
      <c r="E51" s="22" t="str">
        <f t="shared" ref="E51:E61" si="2">IF($B$50="Quarters","CQ"&amp;C51&amp;" "&amp;D51,"CY" &amp;VALUE(RIGHT(E52,4))-1)</f>
        <v>CQ1 2020</v>
      </c>
      <c r="F51" s="24">
        <f t="shared" ref="F51:F61" si="3">IF(F52=1,4,F52-1)</f>
        <v>2</v>
      </c>
      <c r="G51" s="24">
        <f t="shared" ref="G51:G61" si="4">IF($B$50="Quarters",IF(F51=4,G52-1,G52),G52-1)</f>
        <v>2018</v>
      </c>
      <c r="H51" s="24" t="str">
        <f t="shared" ref="H51:H61" si="5">IF($B$50="Quarters","FQ"&amp;F51&amp;" "&amp;G51,"FY" &amp; VALUE(RIGHT(H52,4))-1)</f>
        <v>FQ2 2018</v>
      </c>
    </row>
    <row r="52" spans="1:8" x14ac:dyDescent="0.2">
      <c r="A52" s="17" t="s">
        <v>27</v>
      </c>
      <c r="B52" s="19">
        <f>B51</f>
        <v>10</v>
      </c>
      <c r="C52" s="22">
        <f t="shared" si="0"/>
        <v>2</v>
      </c>
      <c r="D52" s="22">
        <f t="shared" si="1"/>
        <v>2020</v>
      </c>
      <c r="E52" s="22" t="str">
        <f t="shared" si="2"/>
        <v>CQ2 2020</v>
      </c>
      <c r="F52" s="24">
        <f t="shared" si="3"/>
        <v>3</v>
      </c>
      <c r="G52" s="24">
        <f t="shared" si="4"/>
        <v>2018</v>
      </c>
      <c r="H52" s="24" t="str">
        <f t="shared" si="5"/>
        <v>FQ3 2018</v>
      </c>
    </row>
    <row r="53" spans="1:8" x14ac:dyDescent="0.2">
      <c r="A53" s="17" t="s">
        <v>32</v>
      </c>
      <c r="B53" s="19">
        <f>EDATE(B57,-(B51-1)*3)</f>
        <v>43769</v>
      </c>
      <c r="C53" s="22">
        <f t="shared" si="0"/>
        <v>3</v>
      </c>
      <c r="D53" s="22">
        <f t="shared" si="1"/>
        <v>2020</v>
      </c>
      <c r="E53" s="22" t="str">
        <f t="shared" si="2"/>
        <v>CQ3 2020</v>
      </c>
      <c r="F53" s="24">
        <f t="shared" si="3"/>
        <v>4</v>
      </c>
      <c r="G53" s="24">
        <f t="shared" si="4"/>
        <v>2018</v>
      </c>
      <c r="H53" s="24" t="str">
        <f t="shared" si="5"/>
        <v>FQ4 2018</v>
      </c>
    </row>
    <row r="54" spans="1:8" x14ac:dyDescent="0.2">
      <c r="A54" s="17" t="s">
        <v>34</v>
      </c>
      <c r="B54" s="19">
        <f>MONTH(B53)</f>
        <v>10</v>
      </c>
      <c r="C54" s="22">
        <f t="shared" si="0"/>
        <v>4</v>
      </c>
      <c r="D54" s="22">
        <f t="shared" si="1"/>
        <v>2020</v>
      </c>
      <c r="E54" s="22" t="str">
        <f t="shared" si="2"/>
        <v>CQ4 2020</v>
      </c>
      <c r="F54" s="24">
        <f t="shared" si="3"/>
        <v>1</v>
      </c>
      <c r="G54" s="24">
        <f t="shared" si="4"/>
        <v>2019</v>
      </c>
      <c r="H54" s="24" t="str">
        <f t="shared" si="5"/>
        <v>FQ1 2019</v>
      </c>
    </row>
    <row r="55" spans="1:8" x14ac:dyDescent="0.2">
      <c r="A55" s="17" t="s">
        <v>35</v>
      </c>
      <c r="B55" s="19">
        <f>IF(OR(B54=2,B54=3,B54=4),1,IF(OR(B54=5,B54=6,B54=7),2,IF(OR(B54=8,B54=9,B54=10),3,4)))</f>
        <v>3</v>
      </c>
      <c r="C55" s="22">
        <f t="shared" si="0"/>
        <v>1</v>
      </c>
      <c r="D55" s="22">
        <f t="shared" si="1"/>
        <v>2021</v>
      </c>
      <c r="E55" s="22" t="str">
        <f t="shared" si="2"/>
        <v>CQ1 2021</v>
      </c>
      <c r="F55" s="24">
        <f t="shared" si="3"/>
        <v>2</v>
      </c>
      <c r="G55" s="24">
        <f t="shared" si="4"/>
        <v>2019</v>
      </c>
      <c r="H55" s="24" t="str">
        <f t="shared" si="5"/>
        <v>FQ2 2019</v>
      </c>
    </row>
    <row r="56" spans="1:8" x14ac:dyDescent="0.2">
      <c r="A56" s="17" t="s">
        <v>36</v>
      </c>
      <c r="B56" s="19">
        <f>YEAR(B53)</f>
        <v>2019</v>
      </c>
      <c r="C56" s="22">
        <f t="shared" si="0"/>
        <v>2</v>
      </c>
      <c r="D56" s="22">
        <f t="shared" si="1"/>
        <v>2021</v>
      </c>
      <c r="E56" s="22" t="str">
        <f t="shared" si="2"/>
        <v>CQ2 2021</v>
      </c>
      <c r="F56" s="24">
        <f t="shared" si="3"/>
        <v>3</v>
      </c>
      <c r="G56" s="24">
        <f t="shared" si="4"/>
        <v>2019</v>
      </c>
      <c r="H56" s="24" t="str">
        <f t="shared" si="5"/>
        <v>FQ3 2019</v>
      </c>
    </row>
    <row r="57" spans="1:8" x14ac:dyDescent="0.2">
      <c r="A57" s="17" t="s">
        <v>28</v>
      </c>
      <c r="B57" s="19">
        <f>_xll.ciqfunctions.udf.CIQ($B$49,"IQ_PERIODDATE_BS",IQ_FQ, $B$29)</f>
        <v>44592</v>
      </c>
      <c r="C57" s="22">
        <f t="shared" si="0"/>
        <v>3</v>
      </c>
      <c r="D57" s="22">
        <f t="shared" si="1"/>
        <v>2021</v>
      </c>
      <c r="E57" s="22" t="str">
        <f t="shared" si="2"/>
        <v>CQ3 2021</v>
      </c>
      <c r="F57" s="24">
        <f t="shared" si="3"/>
        <v>4</v>
      </c>
      <c r="G57" s="24">
        <f t="shared" si="4"/>
        <v>2019</v>
      </c>
      <c r="H57" s="24" t="str">
        <f t="shared" si="5"/>
        <v>FQ4 2019</v>
      </c>
    </row>
    <row r="58" spans="1:8" x14ac:dyDescent="0.2">
      <c r="A58" s="17" t="s">
        <v>29</v>
      </c>
      <c r="B58" s="19">
        <f>MONTH(B57)</f>
        <v>1</v>
      </c>
      <c r="C58" s="22">
        <f t="shared" si="0"/>
        <v>4</v>
      </c>
      <c r="D58" s="22">
        <f t="shared" si="1"/>
        <v>2021</v>
      </c>
      <c r="E58" s="22" t="str">
        <f t="shared" si="2"/>
        <v>CQ4 2021</v>
      </c>
      <c r="F58" s="24">
        <f t="shared" si="3"/>
        <v>1</v>
      </c>
      <c r="G58" s="24">
        <f t="shared" si="4"/>
        <v>2020</v>
      </c>
      <c r="H58" s="24" t="str">
        <f t="shared" si="5"/>
        <v>FQ1 2020</v>
      </c>
    </row>
    <row r="59" spans="1:8" x14ac:dyDescent="0.2">
      <c r="A59" s="17" t="s">
        <v>30</v>
      </c>
      <c r="B59" s="19">
        <f>IF(OR(B58=2,B58=3,B58=4),1,IF(OR(B58=5,B58=6,B58=7),2,IF(OR(B58=8,B58=9,B58=10),3,4)))</f>
        <v>4</v>
      </c>
      <c r="C59" s="22">
        <f t="shared" si="0"/>
        <v>1</v>
      </c>
      <c r="D59" s="22">
        <f t="shared" si="1"/>
        <v>2022</v>
      </c>
      <c r="E59" s="22" t="str">
        <f t="shared" si="2"/>
        <v>CQ1 2022</v>
      </c>
      <c r="F59" s="24">
        <f t="shared" si="3"/>
        <v>2</v>
      </c>
      <c r="G59" s="24">
        <f t="shared" si="4"/>
        <v>2020</v>
      </c>
      <c r="H59" s="24" t="str">
        <f t="shared" si="5"/>
        <v>FQ2 2020</v>
      </c>
    </row>
    <row r="60" spans="1:8" x14ac:dyDescent="0.2">
      <c r="A60" s="17" t="s">
        <v>31</v>
      </c>
      <c r="B60" s="19">
        <f>YEAR(B57)</f>
        <v>2022</v>
      </c>
      <c r="C60" s="22">
        <f t="shared" si="0"/>
        <v>2</v>
      </c>
      <c r="D60" s="22">
        <f t="shared" si="1"/>
        <v>2022</v>
      </c>
      <c r="E60" s="22" t="str">
        <f t="shared" si="2"/>
        <v>CQ2 2022</v>
      </c>
      <c r="F60" s="24">
        <f t="shared" si="3"/>
        <v>3</v>
      </c>
      <c r="G60" s="24">
        <f t="shared" si="4"/>
        <v>2020</v>
      </c>
      <c r="H60" s="24" t="str">
        <f t="shared" si="5"/>
        <v>FQ3 2020</v>
      </c>
    </row>
    <row r="61" spans="1:8" x14ac:dyDescent="0.2">
      <c r="A61" s="17" t="s">
        <v>37</v>
      </c>
      <c r="B61" s="19">
        <f>B62-B51+1</f>
        <v>2013</v>
      </c>
      <c r="C61" s="22">
        <f t="shared" si="0"/>
        <v>3</v>
      </c>
      <c r="D61" s="22">
        <f t="shared" si="1"/>
        <v>2022</v>
      </c>
      <c r="E61" s="22" t="str">
        <f t="shared" si="2"/>
        <v>CQ3 2022</v>
      </c>
      <c r="F61" s="24">
        <f t="shared" si="3"/>
        <v>4</v>
      </c>
      <c r="G61" s="24">
        <f t="shared" si="4"/>
        <v>2020</v>
      </c>
      <c r="H61" s="24" t="str">
        <f t="shared" si="5"/>
        <v>FQ4 2020</v>
      </c>
    </row>
    <row r="62" spans="1:8" x14ac:dyDescent="0.2">
      <c r="A62" s="17" t="s">
        <v>38</v>
      </c>
      <c r="B62" s="19">
        <f>IF(B59=4,B60,B60-1)</f>
        <v>2022</v>
      </c>
      <c r="C62" s="22">
        <f>B59</f>
        <v>4</v>
      </c>
      <c r="D62" s="22">
        <f>B60</f>
        <v>2022</v>
      </c>
      <c r="E62" s="22" t="str">
        <f>IF(B50="Quarters","CQ"&amp;C62&amp;" "&amp;D62,"CY" &amp; B62)</f>
        <v>CQ4 2022</v>
      </c>
      <c r="F62" s="24">
        <f>IF(B63=B57,4,B65)</f>
        <v>1</v>
      </c>
      <c r="G62" s="24">
        <f>IF(AND(B57&gt;B63,B50="Quarter"), B66+1, B66)</f>
        <v>2021</v>
      </c>
      <c r="H62" s="24" t="str">
        <f>IF(B50="Quarters","FQ"&amp;F62&amp;" "&amp;G62,"FY" &amp; G62)</f>
        <v>FQ1 2021</v>
      </c>
    </row>
    <row r="63" spans="1:8" x14ac:dyDescent="0.2">
      <c r="A63" s="17" t="s">
        <v>43</v>
      </c>
      <c r="B63" s="19">
        <f>_xll.ciqfunctions.udf.CIQ(B49,"IQ_PERIODDATE_BS",IQ_FY,B29)</f>
        <v>44500</v>
      </c>
      <c r="C63" s="27" t="str">
        <f>E51&amp;";"&amp;E52&amp;";"&amp;E53&amp;";"&amp;E54&amp;";"&amp;E55&amp;";"&amp;E56&amp;";"&amp;E57&amp;";"&amp;E58&amp;";"&amp;E59&amp;";"&amp;E60&amp;";"&amp;E61&amp;";"&amp;E62</f>
        <v>CQ1 2020;CQ2 2020;CQ3 2020;CQ4 2020;CQ1 2021;CQ2 2021;CQ3 2021;CQ4 2021;CQ1 2022;CQ2 2022;CQ3 2022;CQ4 2022</v>
      </c>
      <c r="D63" s="27"/>
      <c r="E63" s="27"/>
      <c r="F63" s="25" t="str">
        <f>H51&amp;";"&amp;H52&amp;";"&amp;H53&amp;";"&amp;H54&amp;";"&amp;H55&amp;";"&amp;H56&amp;";"&amp;H57&amp;";"&amp;H58&amp;";"&amp;H59&amp;";"&amp;H60&amp;";"&amp;H61&amp;";"&amp;H62</f>
        <v>FQ2 2018;FQ3 2018;FQ4 2018;FQ1 2019;FQ2 2019;FQ3 2019;FQ4 2019;FQ1 2020;FQ2 2020;FQ3 2020;FQ4 2020;FQ1 2021</v>
      </c>
      <c r="G63" s="25"/>
      <c r="H63" s="25"/>
    </row>
    <row r="64" spans="1:8" x14ac:dyDescent="0.2">
      <c r="A64" s="17" t="s">
        <v>44</v>
      </c>
      <c r="B64" s="19">
        <f>MONTH(B63)</f>
        <v>10</v>
      </c>
    </row>
    <row r="65" spans="1:2" x14ac:dyDescent="0.2">
      <c r="A65" s="17" t="s">
        <v>45</v>
      </c>
      <c r="B65" s="19">
        <f>IF(B66=B60,(B58-B64)/3, (12-B64)/3 + B58/3)</f>
        <v>1</v>
      </c>
    </row>
    <row r="66" spans="1:2" x14ac:dyDescent="0.2">
      <c r="A66" s="17" t="s">
        <v>46</v>
      </c>
      <c r="B66" s="19">
        <f>YEAR(B63)</f>
        <v>2021</v>
      </c>
    </row>
  </sheetData>
  <mergeCells count="4">
    <mergeCell ref="C49:E49"/>
    <mergeCell ref="C63:E63"/>
    <mergeCell ref="F49:H49"/>
    <mergeCell ref="F63:H6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CIQThunk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aghosh</dc:creator>
  <cp:lastModifiedBy>Rick Summers</cp:lastModifiedBy>
  <cp:lastPrinted>2018-03-16T09:54:33Z</cp:lastPrinted>
  <dcterms:created xsi:type="dcterms:W3CDTF">2011-09-20T22:10:16Z</dcterms:created>
  <dcterms:modified xsi:type="dcterms:W3CDTF">2022-03-24T17:18:52Z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ckup">
    <vt:i4>0</vt:i4>
  </property>
  <property fmtid="{D5CDD505-2E9C-101B-9397-08002B2CF9AE}" pid="3" name="{A44787D4-0540-4523-9961-78E4036D8C6D}">
    <vt:lpwstr>{FF5B846D-3C9A-4BCC-8C0A-0E486191D2FD}</vt:lpwstr>
  </property>
</Properties>
</file>